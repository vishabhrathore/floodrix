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loodrix-my.sharepoint.com/personal/purushottam_floodrix_com/Documents/Working FPL/Projects/P.052025_Rajghat Dam/02_Working/Discharge Estimation/SUH JR/Final/"/>
    </mc:Choice>
  </mc:AlternateContent>
  <xr:revisionPtr revIDLastSave="192" documentId="8_{5826EF70-2A24-49DA-89AC-29950C14247E}" xr6:coauthVersionLast="47" xr6:coauthVersionMax="47" xr10:uidLastSave="{9AEF18EC-BF3F-479A-8922-D31421D8E477}"/>
  <bookViews>
    <workbookView xWindow="-108" yWindow="-108" windowWidth="23256" windowHeight="12456" xr2:uid="{56299B84-B070-498C-8F4C-1D77064E365A}"/>
  </bookViews>
  <sheets>
    <sheet name="SUH" sheetId="9" r:id="rId1"/>
    <sheet name="24hr SPS" sheetId="2" r:id="rId2"/>
    <sheet name="48hr SPS " sheetId="5" r:id="rId3"/>
    <sheet name="72hr SPS  " sheetId="6" r:id="rId4"/>
    <sheet name="Sheet3" sheetId="3" state="hidden" r:id="rId5"/>
    <sheet name="PMP 12hr Bell depth" sheetId="8" r:id="rId6"/>
  </sheets>
  <externalReferences>
    <externalReference r:id="rId7"/>
  </externalReferences>
  <definedNames>
    <definedName name="_xlnm.Print_Area" localSheetId="0">SUH!$T$1:$AC$138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54" i="5" l="1"/>
  <c r="AZ55" i="5"/>
  <c r="AZ56" i="5"/>
  <c r="AZ57" i="5"/>
  <c r="AZ58" i="5"/>
  <c r="AZ59" i="5"/>
  <c r="AZ60" i="5"/>
  <c r="AZ61" i="5"/>
  <c r="AZ62" i="5"/>
  <c r="AZ63" i="5"/>
  <c r="AZ64" i="5"/>
  <c r="AZ65" i="5"/>
  <c r="AZ66" i="5"/>
  <c r="AZ67" i="5"/>
  <c r="AZ68" i="5"/>
  <c r="AZ69" i="5"/>
  <c r="AZ70" i="5"/>
  <c r="AZ71" i="5"/>
  <c r="AZ72" i="5"/>
  <c r="AZ73" i="5"/>
  <c r="AZ74" i="5"/>
  <c r="AZ75" i="5"/>
  <c r="AZ76" i="5"/>
  <c r="AZ77" i="5"/>
  <c r="AZ78" i="5"/>
  <c r="AZ79" i="5"/>
  <c r="AZ80" i="5"/>
  <c r="AZ81" i="5"/>
  <c r="AZ82" i="5"/>
  <c r="AZ83" i="5"/>
  <c r="AZ84" i="5"/>
  <c r="AZ85" i="5"/>
  <c r="AZ86" i="5"/>
  <c r="AZ87" i="5"/>
  <c r="AZ88" i="5"/>
  <c r="AZ89" i="5"/>
  <c r="AZ90" i="5"/>
  <c r="AZ91" i="5"/>
  <c r="AZ92" i="5"/>
  <c r="AZ93" i="5"/>
  <c r="AZ94" i="5"/>
  <c r="AZ95" i="5"/>
  <c r="AZ96" i="5"/>
  <c r="AZ97" i="5"/>
  <c r="AZ98" i="5"/>
  <c r="AZ99" i="5"/>
  <c r="AZ100" i="5"/>
  <c r="AZ101" i="5"/>
  <c r="AZ102" i="5"/>
  <c r="AZ103" i="5"/>
  <c r="AZ104" i="5"/>
  <c r="AZ105" i="5"/>
  <c r="AZ106" i="5"/>
  <c r="AZ107" i="5"/>
  <c r="AZ108" i="5"/>
  <c r="AZ109" i="5"/>
  <c r="AZ110" i="5"/>
  <c r="AZ111" i="5"/>
  <c r="AZ112" i="5"/>
  <c r="AZ113" i="5"/>
  <c r="AZ114" i="5"/>
  <c r="AZ115" i="5"/>
  <c r="AZ116" i="5"/>
  <c r="AZ117" i="5"/>
  <c r="AZ118" i="5"/>
  <c r="AZ119" i="5"/>
  <c r="AZ120" i="5"/>
  <c r="AZ121" i="5"/>
  <c r="AZ122" i="5"/>
  <c r="AZ123" i="5"/>
  <c r="AZ124" i="5"/>
  <c r="AZ125" i="5"/>
  <c r="AZ126" i="5"/>
  <c r="AZ127" i="5"/>
  <c r="AZ128" i="5"/>
  <c r="AZ129" i="5"/>
  <c r="AZ130" i="5"/>
  <c r="AZ131" i="5"/>
  <c r="AZ132" i="5"/>
  <c r="AZ133" i="5"/>
  <c r="AZ53" i="5"/>
  <c r="A54" i="6"/>
  <c r="A55" i="6"/>
  <c r="A56" i="6"/>
  <c r="A57" i="6"/>
  <c r="A58" i="6"/>
  <c r="A59" i="6"/>
  <c r="A60" i="6"/>
  <c r="A61" i="6"/>
  <c r="A64" i="6"/>
  <c r="A65" i="6"/>
  <c r="A66" i="6"/>
  <c r="A67" i="6"/>
  <c r="A69" i="6"/>
  <c r="A70" i="6"/>
  <c r="A71" i="6"/>
  <c r="A72" i="6"/>
  <c r="A73" i="6"/>
  <c r="A74" i="6"/>
  <c r="A75" i="6"/>
  <c r="A76" i="6"/>
  <c r="A77" i="6"/>
  <c r="A80" i="6"/>
  <c r="A81" i="6"/>
  <c r="A82" i="6"/>
  <c r="A83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O35" i="6"/>
  <c r="G33" i="6"/>
  <c r="I5" i="6"/>
  <c r="I2" i="6"/>
  <c r="B86" i="5"/>
  <c r="A54" i="5"/>
  <c r="A55" i="5"/>
  <c r="A56" i="5"/>
  <c r="A57" i="5"/>
  <c r="A58" i="5"/>
  <c r="A63" i="5"/>
  <c r="A64" i="5"/>
  <c r="A66" i="5"/>
  <c r="A67" i="5"/>
  <c r="A68" i="5"/>
  <c r="A69" i="5"/>
  <c r="A70" i="5"/>
  <c r="A71" i="5"/>
  <c r="A72" i="5"/>
  <c r="A73" i="5"/>
  <c r="A74" i="5"/>
  <c r="A79" i="5"/>
  <c r="A80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69" i="5"/>
  <c r="M34" i="5"/>
  <c r="G31" i="5"/>
  <c r="I5" i="5"/>
  <c r="I2" i="5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53" i="2"/>
  <c r="A54" i="2"/>
  <c r="A55" i="2"/>
  <c r="A56" i="2"/>
  <c r="A57" i="2"/>
  <c r="A58" i="2"/>
  <c r="A59" i="2"/>
  <c r="A59" i="5" s="1"/>
  <c r="A60" i="2"/>
  <c r="A60" i="5" s="1"/>
  <c r="A61" i="2"/>
  <c r="A61" i="5" s="1"/>
  <c r="A62" i="2"/>
  <c r="A62" i="6" s="1"/>
  <c r="A63" i="2"/>
  <c r="A63" i="6" s="1"/>
  <c r="A64" i="2"/>
  <c r="A65" i="2"/>
  <c r="A65" i="5" s="1"/>
  <c r="A66" i="2"/>
  <c r="A67" i="2"/>
  <c r="A68" i="2"/>
  <c r="A68" i="6" s="1"/>
  <c r="A69" i="2"/>
  <c r="A70" i="2"/>
  <c r="A71" i="2"/>
  <c r="A72" i="2"/>
  <c r="A73" i="2"/>
  <c r="A74" i="2"/>
  <c r="A75" i="2"/>
  <c r="A75" i="5" s="1"/>
  <c r="A76" i="2"/>
  <c r="A76" i="5" s="1"/>
  <c r="A77" i="2"/>
  <c r="A77" i="5" s="1"/>
  <c r="A78" i="2"/>
  <c r="A78" i="6" s="1"/>
  <c r="A79" i="2"/>
  <c r="A79" i="6" s="1"/>
  <c r="A80" i="2"/>
  <c r="A81" i="2"/>
  <c r="A81" i="5" s="1"/>
  <c r="A82" i="2"/>
  <c r="A83" i="2"/>
  <c r="A84" i="2"/>
  <c r="A84" i="6" s="1"/>
  <c r="A85" i="2"/>
  <c r="A86" i="2"/>
  <c r="B86" i="2"/>
  <c r="B86" i="6" s="1"/>
  <c r="A53" i="2"/>
  <c r="A53" i="5" s="1"/>
  <c r="K34" i="2"/>
  <c r="G31" i="2"/>
  <c r="I5" i="2"/>
  <c r="I2" i="2"/>
  <c r="A53" i="6" l="1"/>
  <c r="A78" i="5"/>
  <c r="A62" i="5"/>
  <c r="V110" i="9"/>
  <c r="B84" i="2" s="1"/>
  <c r="V108" i="9"/>
  <c r="B82" i="2" s="1"/>
  <c r="V107" i="9"/>
  <c r="B81" i="2" s="1"/>
  <c r="V106" i="9"/>
  <c r="B80" i="2" s="1"/>
  <c r="V105" i="9"/>
  <c r="B79" i="2" s="1"/>
  <c r="V100" i="9"/>
  <c r="B74" i="2" s="1"/>
  <c r="V99" i="9"/>
  <c r="B73" i="2" s="1"/>
  <c r="V98" i="9"/>
  <c r="B72" i="2" s="1"/>
  <c r="V95" i="9"/>
  <c r="V87" i="9"/>
  <c r="U79" i="9"/>
  <c r="V79" i="9" s="1"/>
  <c r="B53" i="2" s="1"/>
  <c r="U76" i="9"/>
  <c r="V75" i="9"/>
  <c r="W76" i="9" s="1"/>
  <c r="U75" i="9"/>
  <c r="V104" i="9" s="1"/>
  <c r="B78" i="2" s="1"/>
  <c r="V74" i="9"/>
  <c r="W75" i="9" s="1"/>
  <c r="U74" i="9"/>
  <c r="V88" i="9" s="1"/>
  <c r="B62" i="2" s="1"/>
  <c r="V73" i="9"/>
  <c r="W73" i="9" s="1"/>
  <c r="U73" i="9"/>
  <c r="V72" i="9"/>
  <c r="W72" i="9" s="1"/>
  <c r="U72" i="9"/>
  <c r="V86" i="9" s="1"/>
  <c r="V71" i="9"/>
  <c r="V81" i="9" s="1"/>
  <c r="B55" i="2" s="1"/>
  <c r="U71" i="9"/>
  <c r="Y49" i="9"/>
  <c r="X49" i="9"/>
  <c r="Y48" i="9"/>
  <c r="X48" i="9"/>
  <c r="Y47" i="9"/>
  <c r="X47" i="9"/>
  <c r="Y46" i="9"/>
  <c r="X46" i="9"/>
  <c r="Y45" i="9"/>
  <c r="X45" i="9"/>
  <c r="Y42" i="9"/>
  <c r="X42" i="9"/>
  <c r="Y41" i="9"/>
  <c r="X41" i="9"/>
  <c r="X30" i="9"/>
  <c r="Y30" i="9" s="1"/>
  <c r="X29" i="9"/>
  <c r="Y29" i="9" s="1"/>
  <c r="X28" i="9"/>
  <c r="Y28" i="9" s="1"/>
  <c r="X27" i="9"/>
  <c r="Y27" i="9" s="1"/>
  <c r="X26" i="9"/>
  <c r="Y26" i="9" s="1"/>
  <c r="X25" i="9"/>
  <c r="Y25" i="9" s="1"/>
  <c r="X24" i="9"/>
  <c r="Y24" i="9" s="1"/>
  <c r="X23" i="9"/>
  <c r="Y23" i="9" s="1"/>
  <c r="X22" i="9"/>
  <c r="Y22" i="9" s="1"/>
  <c r="Y21" i="9"/>
  <c r="X21" i="9"/>
  <c r="AH20" i="9"/>
  <c r="X20" i="9"/>
  <c r="Y20" i="9" s="1"/>
  <c r="U20" i="9"/>
  <c r="U21" i="9" s="1"/>
  <c r="Y19" i="9"/>
  <c r="Z19" i="9" s="1"/>
  <c r="B80" i="5" l="1"/>
  <c r="B80" i="6"/>
  <c r="B84" i="5"/>
  <c r="B84" i="6"/>
  <c r="B73" i="5"/>
  <c r="B73" i="6"/>
  <c r="B74" i="5"/>
  <c r="B74" i="6"/>
  <c r="B55" i="5"/>
  <c r="B55" i="6"/>
  <c r="B82" i="5"/>
  <c r="B82" i="6"/>
  <c r="B72" i="5"/>
  <c r="B72" i="6"/>
  <c r="B79" i="5"/>
  <c r="B79" i="6"/>
  <c r="B78" i="5"/>
  <c r="B78" i="6"/>
  <c r="B81" i="5"/>
  <c r="B81" i="6"/>
  <c r="B62" i="5"/>
  <c r="B62" i="6"/>
  <c r="B53" i="5"/>
  <c r="B53" i="6"/>
  <c r="H45" i="2"/>
  <c r="B69" i="2"/>
  <c r="H36" i="2"/>
  <c r="B60" i="2"/>
  <c r="H37" i="2"/>
  <c r="B61" i="2"/>
  <c r="W105" i="9"/>
  <c r="W88" i="9"/>
  <c r="H38" i="2"/>
  <c r="W108" i="9"/>
  <c r="W99" i="9"/>
  <c r="W107" i="9"/>
  <c r="W106" i="9"/>
  <c r="W100" i="9"/>
  <c r="W21" i="9"/>
  <c r="Z21" i="9" s="1"/>
  <c r="U22" i="9"/>
  <c r="W87" i="9"/>
  <c r="W41" i="9"/>
  <c r="W42" i="9"/>
  <c r="V90" i="9"/>
  <c r="W48" i="9"/>
  <c r="V82" i="9"/>
  <c r="W20" i="9"/>
  <c r="Z20" i="9" s="1"/>
  <c r="V91" i="9"/>
  <c r="V83" i="9"/>
  <c r="B57" i="2" s="1"/>
  <c r="W45" i="9"/>
  <c r="W49" i="9"/>
  <c r="W74" i="9"/>
  <c r="V84" i="9"/>
  <c r="B58" i="2" s="1"/>
  <c r="V92" i="9"/>
  <c r="V111" i="9"/>
  <c r="B85" i="2" s="1"/>
  <c r="V85" i="9"/>
  <c r="V93" i="9"/>
  <c r="V101" i="9"/>
  <c r="W46" i="9"/>
  <c r="V94" i="9"/>
  <c r="B68" i="2" s="1"/>
  <c r="V102" i="9"/>
  <c r="B76" i="2" s="1"/>
  <c r="W71" i="9"/>
  <c r="V103" i="9"/>
  <c r="B77" i="2" s="1"/>
  <c r="W47" i="9"/>
  <c r="V80" i="9"/>
  <c r="V96" i="9"/>
  <c r="B70" i="2" s="1"/>
  <c r="V109" i="9"/>
  <c r="V89" i="9"/>
  <c r="B63" i="2" s="1"/>
  <c r="V97" i="9"/>
  <c r="B77" i="5" l="1"/>
  <c r="B77" i="6"/>
  <c r="B61" i="5"/>
  <c r="B61" i="6"/>
  <c r="B68" i="5"/>
  <c r="B68" i="6"/>
  <c r="B60" i="5"/>
  <c r="B60" i="6"/>
  <c r="B76" i="5"/>
  <c r="B76" i="6"/>
  <c r="B69" i="5"/>
  <c r="B69" i="6"/>
  <c r="B85" i="5"/>
  <c r="B85" i="6"/>
  <c r="B58" i="5"/>
  <c r="B58" i="6"/>
  <c r="B63" i="5"/>
  <c r="B63" i="6"/>
  <c r="B70" i="5"/>
  <c r="B70" i="6"/>
  <c r="B57" i="5"/>
  <c r="B57" i="6"/>
  <c r="H35" i="2"/>
  <c r="B59" i="2"/>
  <c r="W80" i="9"/>
  <c r="B54" i="2"/>
  <c r="W82" i="9"/>
  <c r="B56" i="2"/>
  <c r="H43" i="2"/>
  <c r="B67" i="2"/>
  <c r="H42" i="2"/>
  <c r="B66" i="2"/>
  <c r="W98" i="9"/>
  <c r="B71" i="2"/>
  <c r="W109" i="9"/>
  <c r="B83" i="2"/>
  <c r="H41" i="2"/>
  <c r="B65" i="2"/>
  <c r="H40" i="2"/>
  <c r="B64" i="2"/>
  <c r="W101" i="9"/>
  <c r="B75" i="2"/>
  <c r="W89" i="9"/>
  <c r="H39" i="2"/>
  <c r="W94" i="9"/>
  <c r="H44" i="2"/>
  <c r="W96" i="9"/>
  <c r="H46" i="2"/>
  <c r="W85" i="9"/>
  <c r="W103" i="9"/>
  <c r="W91" i="9"/>
  <c r="W83" i="9"/>
  <c r="W95" i="9"/>
  <c r="W92" i="9"/>
  <c r="W110" i="9"/>
  <c r="W97" i="9"/>
  <c r="W84" i="9"/>
  <c r="W112" i="9"/>
  <c r="W111" i="9"/>
  <c r="W104" i="9"/>
  <c r="W81" i="9"/>
  <c r="W102" i="9"/>
  <c r="W90" i="9"/>
  <c r="U23" i="9"/>
  <c r="W22" i="9"/>
  <c r="Z22" i="9" s="1"/>
  <c r="W93" i="9"/>
  <c r="W86" i="9"/>
  <c r="B67" i="5" l="1"/>
  <c r="B67" i="6"/>
  <c r="B66" i="5"/>
  <c r="B66" i="6"/>
  <c r="B54" i="5"/>
  <c r="B54" i="6"/>
  <c r="B64" i="5"/>
  <c r="B64" i="6"/>
  <c r="B65" i="5"/>
  <c r="B65" i="6"/>
  <c r="B56" i="5"/>
  <c r="B56" i="6"/>
  <c r="B75" i="5"/>
  <c r="B75" i="6"/>
  <c r="B59" i="5"/>
  <c r="B59" i="6"/>
  <c r="B83" i="5"/>
  <c r="B83" i="6"/>
  <c r="B71" i="5"/>
  <c r="B71" i="6"/>
  <c r="W113" i="9"/>
  <c r="U161" i="9" s="1"/>
  <c r="W23" i="9"/>
  <c r="Z23" i="9" s="1"/>
  <c r="U24" i="9"/>
  <c r="U162" i="9" l="1"/>
  <c r="W24" i="9"/>
  <c r="Z24" i="9" s="1"/>
  <c r="U25" i="9"/>
  <c r="U163" i="9" l="1"/>
  <c r="U26" i="9"/>
  <c r="W25" i="9"/>
  <c r="Z25" i="9" s="1"/>
  <c r="U27" i="9" l="1"/>
  <c r="W26" i="9"/>
  <c r="Z26" i="9" s="1"/>
  <c r="W27" i="9" l="1"/>
  <c r="Z27" i="9" s="1"/>
  <c r="U28" i="9"/>
  <c r="U29" i="9" l="1"/>
  <c r="W28" i="9"/>
  <c r="Z28" i="9" s="1"/>
  <c r="U30" i="9" l="1"/>
  <c r="W30" i="9" s="1"/>
  <c r="Z30" i="9" s="1"/>
  <c r="W29" i="9"/>
  <c r="Z29" i="9" s="1"/>
  <c r="Z31" i="9" l="1"/>
  <c r="Y33" i="9" s="1"/>
  <c r="Z42" i="9" s="1"/>
  <c r="Z43" i="9" l="1"/>
  <c r="Z46" i="9"/>
  <c r="Z47" i="9"/>
  <c r="Z41" i="9"/>
  <c r="Z45" i="9"/>
  <c r="Z48" i="9"/>
  <c r="Z50" i="9" l="1"/>
  <c r="Z44" i="9"/>
  <c r="Z49" i="9"/>
  <c r="AC55" i="2" l="1"/>
  <c r="AC60" i="2"/>
  <c r="AC61" i="2"/>
  <c r="AC62" i="2"/>
  <c r="AC63" i="2"/>
  <c r="AC64" i="2"/>
  <c r="AC65" i="2"/>
  <c r="AC71" i="2"/>
  <c r="AC76" i="2"/>
  <c r="AC77" i="2"/>
  <c r="AC78" i="2"/>
  <c r="AC79" i="2"/>
  <c r="AC80" i="2"/>
  <c r="AC81" i="2"/>
  <c r="AC87" i="2"/>
  <c r="AC92" i="2"/>
  <c r="AC93" i="2"/>
  <c r="AC94" i="2"/>
  <c r="AC95" i="2"/>
  <c r="AC96" i="2"/>
  <c r="AC97" i="2"/>
  <c r="AC103" i="2"/>
  <c r="AC108" i="2"/>
  <c r="AC109" i="2"/>
  <c r="AC54" i="2"/>
  <c r="AC56" i="2"/>
  <c r="AC57" i="2"/>
  <c r="AC58" i="2"/>
  <c r="AC59" i="2"/>
  <c r="AC66" i="2"/>
  <c r="AC67" i="2"/>
  <c r="AC68" i="2"/>
  <c r="AC69" i="2"/>
  <c r="AC70" i="2"/>
  <c r="AC72" i="2"/>
  <c r="AC73" i="2"/>
  <c r="AC74" i="2"/>
  <c r="AC75" i="2"/>
  <c r="AC82" i="2"/>
  <c r="AC83" i="2"/>
  <c r="AC84" i="2"/>
  <c r="AC85" i="2"/>
  <c r="AC86" i="2"/>
  <c r="AC88" i="2"/>
  <c r="AC89" i="2"/>
  <c r="AC90" i="2"/>
  <c r="AC91" i="2"/>
  <c r="AC98" i="2"/>
  <c r="AC99" i="2"/>
  <c r="AC100" i="2"/>
  <c r="AC101" i="2"/>
  <c r="AC102" i="2"/>
  <c r="AC104" i="2"/>
  <c r="AC105" i="2"/>
  <c r="AC106" i="2"/>
  <c r="AC107" i="2"/>
  <c r="AC53" i="2"/>
  <c r="O36" i="6" l="1"/>
  <c r="O37" i="6" s="1"/>
  <c r="O38" i="6" s="1"/>
  <c r="O39" i="6" s="1"/>
  <c r="O40" i="6" s="1"/>
  <c r="O41" i="6" s="1"/>
  <c r="O42" i="6" s="1"/>
  <c r="O43" i="6" s="1"/>
  <c r="O44" i="6" s="1"/>
  <c r="O45" i="6" s="1"/>
  <c r="O46" i="6" s="1"/>
  <c r="O47" i="6" s="1"/>
  <c r="BX63" i="6" l="1"/>
  <c r="BX79" i="6"/>
  <c r="BX95" i="6"/>
  <c r="BX111" i="6"/>
  <c r="BX127" i="6"/>
  <c r="BY127" i="6" s="1"/>
  <c r="BX143" i="6"/>
  <c r="BY143" i="6" s="1"/>
  <c r="BX64" i="6"/>
  <c r="BY64" i="6" s="1"/>
  <c r="BX80" i="6"/>
  <c r="BY80" i="6" s="1"/>
  <c r="BX96" i="6"/>
  <c r="BX112" i="6"/>
  <c r="BX128" i="6"/>
  <c r="BY128" i="6" s="1"/>
  <c r="BX144" i="6"/>
  <c r="BY144" i="6" s="1"/>
  <c r="BX68" i="6"/>
  <c r="BY68" i="6" s="1"/>
  <c r="BX84" i="6"/>
  <c r="BY84" i="6" s="1"/>
  <c r="BX100" i="6"/>
  <c r="BY100" i="6" s="1"/>
  <c r="BX116" i="6"/>
  <c r="BY116" i="6" s="1"/>
  <c r="BX132" i="6"/>
  <c r="BY132" i="6" s="1"/>
  <c r="BX148" i="6"/>
  <c r="BY148" i="6" s="1"/>
  <c r="BX74" i="6"/>
  <c r="BY74" i="6" s="1"/>
  <c r="BX106" i="6"/>
  <c r="BY106" i="6" s="1"/>
  <c r="BX138" i="6"/>
  <c r="BY138" i="6" s="1"/>
  <c r="BX154" i="6"/>
  <c r="BY154" i="6" s="1"/>
  <c r="BX75" i="6"/>
  <c r="BY75" i="6" s="1"/>
  <c r="BX107" i="6"/>
  <c r="BY107" i="6" s="1"/>
  <c r="BX139" i="6"/>
  <c r="BY139" i="6" s="1"/>
  <c r="BX155" i="6"/>
  <c r="BY155" i="6" s="1"/>
  <c r="BX77" i="6"/>
  <c r="BY77" i="6" s="1"/>
  <c r="BX65" i="6"/>
  <c r="BY65" i="6" s="1"/>
  <c r="BX81" i="6"/>
  <c r="BY81" i="6" s="1"/>
  <c r="BX97" i="6"/>
  <c r="BY97" i="6" s="1"/>
  <c r="BX113" i="6"/>
  <c r="BY113" i="6" s="1"/>
  <c r="BX129" i="6"/>
  <c r="BY129" i="6" s="1"/>
  <c r="BX145" i="6"/>
  <c r="BY145" i="6" s="1"/>
  <c r="BX122" i="6"/>
  <c r="BY122" i="6" s="1"/>
  <c r="BX123" i="6"/>
  <c r="BY123" i="6" s="1"/>
  <c r="BX76" i="6"/>
  <c r="BY76" i="6" s="1"/>
  <c r="BX125" i="6"/>
  <c r="BY125" i="6" s="1"/>
  <c r="BX66" i="6"/>
  <c r="BY66" i="6" s="1"/>
  <c r="BX82" i="6"/>
  <c r="BY82" i="6" s="1"/>
  <c r="BX98" i="6"/>
  <c r="BY98" i="6" s="1"/>
  <c r="BX114" i="6"/>
  <c r="BY114" i="6" s="1"/>
  <c r="BX130" i="6"/>
  <c r="BY130" i="6" s="1"/>
  <c r="BX146" i="6"/>
  <c r="BY146" i="6" s="1"/>
  <c r="BX53" i="6"/>
  <c r="BY53" i="6" s="1"/>
  <c r="BX67" i="6"/>
  <c r="BY67" i="6" s="1"/>
  <c r="BX83" i="6"/>
  <c r="BY83" i="6" s="1"/>
  <c r="BX99" i="6"/>
  <c r="BY99" i="6" s="1"/>
  <c r="BX115" i="6"/>
  <c r="BY115" i="6" s="1"/>
  <c r="BX131" i="6"/>
  <c r="BY131" i="6" s="1"/>
  <c r="BX147" i="6"/>
  <c r="BY147" i="6" s="1"/>
  <c r="BX90" i="6"/>
  <c r="BY90" i="6" s="1"/>
  <c r="BX69" i="6"/>
  <c r="BY69" i="6" s="1"/>
  <c r="BX85" i="6"/>
  <c r="BY85" i="6" s="1"/>
  <c r="BX101" i="6"/>
  <c r="BY101" i="6" s="1"/>
  <c r="BX117" i="6"/>
  <c r="BY117" i="6" s="1"/>
  <c r="BX133" i="6"/>
  <c r="BY133" i="6" s="1"/>
  <c r="BX149" i="6"/>
  <c r="BY149" i="6" s="1"/>
  <c r="BX89" i="6"/>
  <c r="BY89" i="6" s="1"/>
  <c r="BX105" i="6"/>
  <c r="BY105" i="6" s="1"/>
  <c r="BX121" i="6"/>
  <c r="BY121" i="6" s="1"/>
  <c r="BX153" i="6"/>
  <c r="BY153" i="6" s="1"/>
  <c r="BX54" i="6"/>
  <c r="BY54" i="6" s="1"/>
  <c r="BX70" i="6"/>
  <c r="BY70" i="6" s="1"/>
  <c r="BX86" i="6"/>
  <c r="BY86" i="6" s="1"/>
  <c r="BX102" i="6"/>
  <c r="BY102" i="6" s="1"/>
  <c r="BX118" i="6"/>
  <c r="BY118" i="6" s="1"/>
  <c r="BX134" i="6"/>
  <c r="BY134" i="6" s="1"/>
  <c r="BX150" i="6"/>
  <c r="BY150" i="6" s="1"/>
  <c r="BX60" i="6"/>
  <c r="BY60" i="6" s="1"/>
  <c r="BX157" i="6"/>
  <c r="BY157" i="6" s="1"/>
  <c r="BX55" i="6"/>
  <c r="BY55" i="6" s="1"/>
  <c r="BX71" i="6"/>
  <c r="BY71" i="6" s="1"/>
  <c r="BX87" i="6"/>
  <c r="BY87" i="6" s="1"/>
  <c r="BX103" i="6"/>
  <c r="BY103" i="6" s="1"/>
  <c r="BX119" i="6"/>
  <c r="BY119" i="6" s="1"/>
  <c r="BX135" i="6"/>
  <c r="BX151" i="6"/>
  <c r="BY151" i="6" s="1"/>
  <c r="BX73" i="6"/>
  <c r="BY73" i="6" s="1"/>
  <c r="BX137" i="6"/>
  <c r="BY137" i="6" s="1"/>
  <c r="BX56" i="6"/>
  <c r="BY56" i="6" s="1"/>
  <c r="BX72" i="6"/>
  <c r="BY72" i="6" s="1"/>
  <c r="BX88" i="6"/>
  <c r="BY88" i="6" s="1"/>
  <c r="BX104" i="6"/>
  <c r="BY104" i="6" s="1"/>
  <c r="BX120" i="6"/>
  <c r="BY120" i="6" s="1"/>
  <c r="BX136" i="6"/>
  <c r="BY136" i="6" s="1"/>
  <c r="BX152" i="6"/>
  <c r="BY152" i="6" s="1"/>
  <c r="BX57" i="6"/>
  <c r="BY57" i="6" s="1"/>
  <c r="BX58" i="6"/>
  <c r="BY58" i="6" s="1"/>
  <c r="BX140" i="6"/>
  <c r="BY140" i="6" s="1"/>
  <c r="BX93" i="6"/>
  <c r="BY93" i="6" s="1"/>
  <c r="BX141" i="6"/>
  <c r="BY141" i="6" s="1"/>
  <c r="BX91" i="6"/>
  <c r="BY91" i="6" s="1"/>
  <c r="BX92" i="6"/>
  <c r="BY92" i="6" s="1"/>
  <c r="BX124" i="6"/>
  <c r="BY124" i="6" s="1"/>
  <c r="BX156" i="6"/>
  <c r="BY156" i="6" s="1"/>
  <c r="BX61" i="6"/>
  <c r="BY61" i="6" s="1"/>
  <c r="BX59" i="6"/>
  <c r="BY59" i="6" s="1"/>
  <c r="BX108" i="6"/>
  <c r="BY108" i="6" s="1"/>
  <c r="BX109" i="6"/>
  <c r="BY109" i="6" s="1"/>
  <c r="BX62" i="6"/>
  <c r="BY62" i="6" s="1"/>
  <c r="BX78" i="6"/>
  <c r="BY78" i="6" s="1"/>
  <c r="BX94" i="6"/>
  <c r="BY94" i="6" s="1"/>
  <c r="BX110" i="6"/>
  <c r="BY110" i="6" s="1"/>
  <c r="BX126" i="6"/>
  <c r="BY126" i="6" s="1"/>
  <c r="BX142" i="6"/>
  <c r="BY142" i="6" s="1"/>
  <c r="BY112" i="6"/>
  <c r="BY96" i="6"/>
  <c r="BY95" i="6"/>
  <c r="BY63" i="6"/>
  <c r="BY135" i="6"/>
  <c r="BY79" i="6"/>
  <c r="BY111" i="6"/>
  <c r="H3" i="8" l="1"/>
  <c r="P28" i="5" l="1"/>
  <c r="Q28" i="5"/>
  <c r="Q17" i="5"/>
  <c r="Q18" i="5"/>
  <c r="Q19" i="5"/>
  <c r="Q20" i="5"/>
  <c r="Q21" i="5"/>
  <c r="Q22" i="5"/>
  <c r="Q23" i="5"/>
  <c r="Q24" i="5"/>
  <c r="Q25" i="5"/>
  <c r="Q26" i="5"/>
  <c r="Q27" i="5"/>
  <c r="Q16" i="5"/>
  <c r="P17" i="5"/>
  <c r="P18" i="5"/>
  <c r="P19" i="5"/>
  <c r="P20" i="5"/>
  <c r="P21" i="5"/>
  <c r="P22" i="5"/>
  <c r="P23" i="5"/>
  <c r="P24" i="5"/>
  <c r="P25" i="5"/>
  <c r="P26" i="5"/>
  <c r="P27" i="5"/>
  <c r="P16" i="5"/>
  <c r="M17" i="5"/>
  <c r="M18" i="5"/>
  <c r="M19" i="5"/>
  <c r="M20" i="5"/>
  <c r="M21" i="5"/>
  <c r="M22" i="5"/>
  <c r="M23" i="5"/>
  <c r="M24" i="5"/>
  <c r="M25" i="5"/>
  <c r="M26" i="5"/>
  <c r="M27" i="5"/>
  <c r="M16" i="5"/>
  <c r="L17" i="5"/>
  <c r="L18" i="5"/>
  <c r="L19" i="5"/>
  <c r="L20" i="5"/>
  <c r="L21" i="5"/>
  <c r="L22" i="5"/>
  <c r="L23" i="5"/>
  <c r="L24" i="5"/>
  <c r="L25" i="5"/>
  <c r="L26" i="5"/>
  <c r="L27" i="5"/>
  <c r="L16" i="5"/>
  <c r="I17" i="2"/>
  <c r="I18" i="2"/>
  <c r="I19" i="2"/>
  <c r="I20" i="2"/>
  <c r="I21" i="2"/>
  <c r="I22" i="2"/>
  <c r="I23" i="2"/>
  <c r="I24" i="2"/>
  <c r="I25" i="2"/>
  <c r="I26" i="2"/>
  <c r="I27" i="2"/>
  <c r="I16" i="2"/>
  <c r="I6" i="6"/>
  <c r="I7" i="6" s="1"/>
  <c r="D3" i="8" s="1"/>
  <c r="I6" i="5"/>
  <c r="I7" i="5" s="1"/>
  <c r="C3" i="8" s="1"/>
  <c r="G3" i="8" l="1"/>
  <c r="I6" i="2"/>
  <c r="I7" i="2" s="1"/>
  <c r="K18" i="2"/>
  <c r="K19" i="2"/>
  <c r="K20" i="2"/>
  <c r="K21" i="2"/>
  <c r="K22" i="2"/>
  <c r="K23" i="2"/>
  <c r="K24" i="2"/>
  <c r="K25" i="2"/>
  <c r="K26" i="2"/>
  <c r="K27" i="2"/>
  <c r="K17" i="2"/>
  <c r="K16" i="2"/>
  <c r="J18" i="2"/>
  <c r="J19" i="2"/>
  <c r="J20" i="2"/>
  <c r="J21" i="2"/>
  <c r="J22" i="2"/>
  <c r="J23" i="2"/>
  <c r="J24" i="2"/>
  <c r="J25" i="2"/>
  <c r="J26" i="2"/>
  <c r="J27" i="2"/>
  <c r="J17" i="2"/>
  <c r="J16" i="2"/>
  <c r="B3" i="8" l="1"/>
  <c r="E3" i="8" s="1"/>
  <c r="I3" i="8" s="1"/>
  <c r="I8" i="6" s="1"/>
  <c r="I8" i="2"/>
  <c r="M3" i="8"/>
  <c r="I12" i="6" s="1"/>
  <c r="M35" i="5"/>
  <c r="M36" i="5" s="1"/>
  <c r="M37" i="5" s="1"/>
  <c r="M38" i="5" s="1"/>
  <c r="M39" i="5" s="1"/>
  <c r="M40" i="5" s="1"/>
  <c r="M41" i="5" s="1"/>
  <c r="M42" i="5" s="1"/>
  <c r="M43" i="5" s="1"/>
  <c r="M44" i="5" s="1"/>
  <c r="M45" i="5" s="1"/>
  <c r="M46" i="5" s="1"/>
  <c r="J3" i="8" l="1"/>
  <c r="I8" i="5"/>
  <c r="F3" i="8"/>
  <c r="K3" i="8" s="1"/>
  <c r="I10" i="5" s="1"/>
  <c r="N3" i="8"/>
  <c r="I13" i="6" s="1"/>
  <c r="I9" i="6"/>
  <c r="I9" i="5"/>
  <c r="K35" i="2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I10" i="6" l="1"/>
  <c r="L3" i="8"/>
  <c r="T21" i="5"/>
  <c r="T23" i="5"/>
  <c r="T16" i="5"/>
  <c r="T22" i="5"/>
  <c r="T24" i="5"/>
  <c r="T25" i="5"/>
  <c r="T26" i="5"/>
  <c r="T27" i="5"/>
  <c r="T17" i="5"/>
  <c r="T20" i="5"/>
  <c r="T18" i="5"/>
  <c r="T19" i="5"/>
  <c r="I11" i="5" l="1"/>
  <c r="I11" i="6"/>
  <c r="T28" i="5"/>
  <c r="B40" i="6"/>
  <c r="B39" i="6"/>
  <c r="B38" i="6"/>
  <c r="B37" i="6"/>
  <c r="B36" i="6"/>
  <c r="B35" i="6"/>
  <c r="B34" i="6"/>
  <c r="B33" i="6"/>
  <c r="B32" i="6"/>
  <c r="B31" i="6"/>
  <c r="B30" i="6"/>
  <c r="B29" i="6"/>
  <c r="Q28" i="6"/>
  <c r="K28" i="6"/>
  <c r="M28" i="6" s="1"/>
  <c r="J28" i="6"/>
  <c r="L28" i="6" s="1"/>
  <c r="B28" i="6"/>
  <c r="C28" i="6" s="1"/>
  <c r="K27" i="6"/>
  <c r="M27" i="6" s="1"/>
  <c r="J27" i="6"/>
  <c r="L27" i="6" s="1"/>
  <c r="R27" i="6" s="1"/>
  <c r="B27" i="6"/>
  <c r="C27" i="6" s="1"/>
  <c r="K26" i="6"/>
  <c r="J26" i="6"/>
  <c r="L26" i="6" s="1"/>
  <c r="B26" i="6"/>
  <c r="K25" i="6"/>
  <c r="M25" i="6" s="1"/>
  <c r="J25" i="6"/>
  <c r="L25" i="6" s="1"/>
  <c r="B25" i="6"/>
  <c r="C25" i="6" s="1"/>
  <c r="K24" i="6"/>
  <c r="J24" i="6"/>
  <c r="L24" i="6" s="1"/>
  <c r="R24" i="6" s="1"/>
  <c r="B24" i="6"/>
  <c r="C24" i="6" s="1"/>
  <c r="K23" i="6"/>
  <c r="M23" i="6" s="1"/>
  <c r="J23" i="6"/>
  <c r="L23" i="6" s="1"/>
  <c r="B23" i="6"/>
  <c r="K22" i="6"/>
  <c r="J22" i="6"/>
  <c r="L22" i="6" s="1"/>
  <c r="R22" i="6" s="1"/>
  <c r="B22" i="6"/>
  <c r="C22" i="6" s="1"/>
  <c r="K21" i="6"/>
  <c r="M21" i="6" s="1"/>
  <c r="J21" i="6"/>
  <c r="L21" i="6" s="1"/>
  <c r="B21" i="6"/>
  <c r="K20" i="6"/>
  <c r="J20" i="6"/>
  <c r="L20" i="6" s="1"/>
  <c r="B20" i="6"/>
  <c r="K19" i="6"/>
  <c r="J19" i="6"/>
  <c r="L19" i="6" s="1"/>
  <c r="B19" i="6"/>
  <c r="C19" i="6" s="1"/>
  <c r="K18" i="6"/>
  <c r="J18" i="6"/>
  <c r="L18" i="6" s="1"/>
  <c r="R18" i="6" s="1"/>
  <c r="B18" i="6"/>
  <c r="K17" i="6"/>
  <c r="J17" i="6"/>
  <c r="L17" i="6" s="1"/>
  <c r="B17" i="6"/>
  <c r="C17" i="6" s="1"/>
  <c r="B39" i="5"/>
  <c r="B38" i="5"/>
  <c r="B37" i="5"/>
  <c r="B36" i="5"/>
  <c r="B35" i="5"/>
  <c r="B34" i="5"/>
  <c r="B33" i="5"/>
  <c r="B32" i="5"/>
  <c r="B31" i="5"/>
  <c r="B30" i="5"/>
  <c r="B29" i="5"/>
  <c r="B28" i="5"/>
  <c r="O27" i="5"/>
  <c r="K27" i="5"/>
  <c r="N27" i="5" s="1"/>
  <c r="J27" i="5"/>
  <c r="B27" i="5"/>
  <c r="C27" i="5" s="1"/>
  <c r="O26" i="5"/>
  <c r="N26" i="5"/>
  <c r="K26" i="5"/>
  <c r="J26" i="5"/>
  <c r="B26" i="5"/>
  <c r="C26" i="5" s="1"/>
  <c r="O25" i="5"/>
  <c r="K25" i="5"/>
  <c r="N25" i="5" s="1"/>
  <c r="J25" i="5"/>
  <c r="B25" i="5"/>
  <c r="C25" i="5" s="1"/>
  <c r="O24" i="5"/>
  <c r="N24" i="5"/>
  <c r="K24" i="5"/>
  <c r="J24" i="5"/>
  <c r="B24" i="5"/>
  <c r="C24" i="5" s="1"/>
  <c r="O23" i="5"/>
  <c r="K23" i="5"/>
  <c r="N23" i="5" s="1"/>
  <c r="J23" i="5"/>
  <c r="B23" i="5"/>
  <c r="C23" i="5" s="1"/>
  <c r="O22" i="5"/>
  <c r="N22" i="5"/>
  <c r="K22" i="5"/>
  <c r="J22" i="5"/>
  <c r="B22" i="5"/>
  <c r="C22" i="5" s="1"/>
  <c r="O21" i="5"/>
  <c r="K21" i="5"/>
  <c r="N21" i="5" s="1"/>
  <c r="J21" i="5"/>
  <c r="B21" i="5"/>
  <c r="C21" i="5" s="1"/>
  <c r="O20" i="5"/>
  <c r="N20" i="5"/>
  <c r="K20" i="5"/>
  <c r="J20" i="5"/>
  <c r="B20" i="5"/>
  <c r="C20" i="5" s="1"/>
  <c r="O19" i="5"/>
  <c r="K19" i="5"/>
  <c r="N19" i="5" s="1"/>
  <c r="J19" i="5"/>
  <c r="B19" i="5"/>
  <c r="C19" i="5" s="1"/>
  <c r="O18" i="5"/>
  <c r="N18" i="5"/>
  <c r="K18" i="5"/>
  <c r="J18" i="5"/>
  <c r="B18" i="5"/>
  <c r="C18" i="5" s="1"/>
  <c r="O17" i="5"/>
  <c r="K17" i="5"/>
  <c r="N17" i="5" s="1"/>
  <c r="J17" i="5"/>
  <c r="B17" i="5"/>
  <c r="C17" i="5" s="1"/>
  <c r="N16" i="5"/>
  <c r="K16" i="5"/>
  <c r="J16" i="5"/>
  <c r="B16" i="5"/>
  <c r="C16" i="5" s="1"/>
  <c r="H16" i="2"/>
  <c r="H45" i="5" l="1"/>
  <c r="H46" i="6"/>
  <c r="H37" i="6"/>
  <c r="H36" i="5"/>
  <c r="H47" i="6"/>
  <c r="H46" i="5"/>
  <c r="H42" i="6"/>
  <c r="H41" i="5"/>
  <c r="H39" i="5"/>
  <c r="H40" i="6"/>
  <c r="H45" i="6"/>
  <c r="H44" i="5"/>
  <c r="H44" i="6"/>
  <c r="H43" i="5"/>
  <c r="H41" i="6"/>
  <c r="H40" i="5"/>
  <c r="H39" i="6"/>
  <c r="H38" i="5"/>
  <c r="H35" i="5"/>
  <c r="H36" i="6"/>
  <c r="H43" i="6"/>
  <c r="H42" i="5"/>
  <c r="H38" i="6"/>
  <c r="H37" i="5"/>
  <c r="N27" i="6"/>
  <c r="N21" i="6"/>
  <c r="Q22" i="6"/>
  <c r="M22" i="6"/>
  <c r="S23" i="6" s="1"/>
  <c r="P17" i="6"/>
  <c r="V17" i="6" s="1"/>
  <c r="M17" i="6"/>
  <c r="N17" i="6" s="1"/>
  <c r="O17" i="6" s="1"/>
  <c r="C23" i="6"/>
  <c r="R28" i="6"/>
  <c r="C18" i="6"/>
  <c r="R23" i="6"/>
  <c r="N28" i="6"/>
  <c r="S28" i="6"/>
  <c r="C20" i="6"/>
  <c r="R25" i="6"/>
  <c r="R19" i="6"/>
  <c r="Q19" i="6"/>
  <c r="M19" i="6"/>
  <c r="C26" i="6"/>
  <c r="N23" i="6"/>
  <c r="Q18" i="6"/>
  <c r="M18" i="6"/>
  <c r="Q24" i="6"/>
  <c r="M24" i="6"/>
  <c r="S25" i="6" s="1"/>
  <c r="N25" i="6"/>
  <c r="Q20" i="6"/>
  <c r="M20" i="6"/>
  <c r="S21" i="6" s="1"/>
  <c r="C21" i="6"/>
  <c r="R26" i="6"/>
  <c r="R20" i="6"/>
  <c r="R21" i="6"/>
  <c r="Q26" i="6"/>
  <c r="M26" i="6"/>
  <c r="U21" i="5"/>
  <c r="U23" i="5"/>
  <c r="U18" i="5"/>
  <c r="U24" i="5"/>
  <c r="U19" i="5"/>
  <c r="U25" i="5"/>
  <c r="U17" i="5"/>
  <c r="U22" i="5"/>
  <c r="U16" i="5"/>
  <c r="U27" i="5"/>
  <c r="U20" i="5"/>
  <c r="U26" i="5"/>
  <c r="Q25" i="6"/>
  <c r="Q21" i="6"/>
  <c r="Q27" i="6"/>
  <c r="Q23" i="6"/>
  <c r="Q17" i="6"/>
  <c r="P18" i="6"/>
  <c r="P20" i="6"/>
  <c r="P22" i="6"/>
  <c r="P24" i="6"/>
  <c r="P26" i="6"/>
  <c r="P28" i="6"/>
  <c r="P19" i="6"/>
  <c r="P23" i="6"/>
  <c r="P25" i="6"/>
  <c r="P21" i="6"/>
  <c r="P27" i="6"/>
  <c r="R24" i="5"/>
  <c r="N28" i="5"/>
  <c r="O16" i="5"/>
  <c r="K40" i="5" l="1"/>
  <c r="P40" i="5" s="1"/>
  <c r="T41" i="5" s="1" a="1"/>
  <c r="T41" i="5" s="1"/>
  <c r="K42" i="5"/>
  <c r="P42" i="5" s="1"/>
  <c r="T39" i="5" s="1" a="1"/>
  <c r="T39" i="5" s="1"/>
  <c r="K36" i="5"/>
  <c r="P36" i="5" s="1"/>
  <c r="T45" i="5" s="1" a="1"/>
  <c r="T45" i="5" s="1"/>
  <c r="K37" i="5"/>
  <c r="P37" i="5" s="1"/>
  <c r="T44" i="5" s="1" a="1"/>
  <c r="T44" i="5" s="1"/>
  <c r="K46" i="5"/>
  <c r="P46" i="5" s="1"/>
  <c r="T35" i="5" s="1" a="1"/>
  <c r="T35" i="5" s="1"/>
  <c r="K35" i="5"/>
  <c r="K44" i="5"/>
  <c r="P44" i="5" s="1"/>
  <c r="T37" i="5" s="1" a="1"/>
  <c r="T37" i="5" s="1"/>
  <c r="K41" i="5"/>
  <c r="P41" i="5" s="1"/>
  <c r="T40" i="5" s="1" a="1"/>
  <c r="T40" i="5" s="1"/>
  <c r="K38" i="5"/>
  <c r="P38" i="5" s="1"/>
  <c r="T43" i="5" s="1" a="1"/>
  <c r="T43" i="5" s="1"/>
  <c r="K43" i="5"/>
  <c r="P43" i="5" s="1"/>
  <c r="T38" i="5" s="1" a="1"/>
  <c r="T38" i="5" s="1"/>
  <c r="K39" i="5"/>
  <c r="P39" i="5" s="1"/>
  <c r="T42" i="5" s="1" a="1"/>
  <c r="T42" i="5" s="1"/>
  <c r="K45" i="5"/>
  <c r="P45" i="5" s="1"/>
  <c r="T36" i="5" s="1" a="1"/>
  <c r="T36" i="5" s="1"/>
  <c r="O28" i="6"/>
  <c r="U28" i="6" s="1"/>
  <c r="T28" i="6"/>
  <c r="O25" i="6"/>
  <c r="N26" i="6"/>
  <c r="S26" i="6"/>
  <c r="T21" i="6"/>
  <c r="O21" i="6"/>
  <c r="N24" i="6"/>
  <c r="T25" i="6" s="1"/>
  <c r="S24" i="6"/>
  <c r="N19" i="6"/>
  <c r="S19" i="6"/>
  <c r="N18" i="6"/>
  <c r="S18" i="6"/>
  <c r="R17" i="6"/>
  <c r="W17" i="6"/>
  <c r="N22" i="6"/>
  <c r="S22" i="6"/>
  <c r="S27" i="6"/>
  <c r="N20" i="6"/>
  <c r="S20" i="6"/>
  <c r="O23" i="6"/>
  <c r="O27" i="6"/>
  <c r="T27" i="6"/>
  <c r="L36" i="5"/>
  <c r="Q36" i="5" s="1"/>
  <c r="U45" i="5" s="1" a="1"/>
  <c r="U45" i="5" s="1"/>
  <c r="L43" i="5"/>
  <c r="Q43" i="5" s="1"/>
  <c r="U38" i="5" s="1" a="1"/>
  <c r="U38" i="5" s="1"/>
  <c r="L45" i="5"/>
  <c r="Q45" i="5" s="1"/>
  <c r="U36" i="5" s="1" a="1"/>
  <c r="U36" i="5" s="1"/>
  <c r="L37" i="5"/>
  <c r="Q37" i="5" s="1"/>
  <c r="U44" i="5" s="1" a="1"/>
  <c r="U44" i="5" s="1"/>
  <c r="L42" i="5"/>
  <c r="Q42" i="5" s="1"/>
  <c r="U39" i="5" s="1" a="1"/>
  <c r="U39" i="5" s="1"/>
  <c r="L39" i="5"/>
  <c r="Q39" i="5" s="1"/>
  <c r="U42" i="5" s="1" a="1"/>
  <c r="U42" i="5" s="1"/>
  <c r="L44" i="5"/>
  <c r="Q44" i="5" s="1"/>
  <c r="U37" i="5" s="1" a="1"/>
  <c r="U37" i="5" s="1"/>
  <c r="L46" i="5"/>
  <c r="Q46" i="5" s="1"/>
  <c r="U35" i="5" s="1" a="1"/>
  <c r="U35" i="5" s="1"/>
  <c r="L41" i="5"/>
  <c r="Q41" i="5" s="1"/>
  <c r="U40" i="5" s="1" a="1"/>
  <c r="U40" i="5" s="1"/>
  <c r="L35" i="5"/>
  <c r="L38" i="5"/>
  <c r="Q38" i="5" s="1"/>
  <c r="U43" i="5" s="1" a="1"/>
  <c r="U43" i="5" s="1"/>
  <c r="L40" i="5"/>
  <c r="Q40" i="5" s="1"/>
  <c r="U41" i="5" s="1" a="1"/>
  <c r="U41" i="5" s="1"/>
  <c r="U28" i="5"/>
  <c r="R19" i="5"/>
  <c r="V22" i="6"/>
  <c r="V21" i="6"/>
  <c r="V23" i="6"/>
  <c r="V19" i="6"/>
  <c r="V20" i="6"/>
  <c r="V18" i="6"/>
  <c r="W22" i="6"/>
  <c r="V25" i="6"/>
  <c r="R26" i="5"/>
  <c r="V27" i="6"/>
  <c r="W20" i="6"/>
  <c r="W28" i="6"/>
  <c r="W25" i="6"/>
  <c r="V28" i="6"/>
  <c r="V26" i="6"/>
  <c r="P29" i="6"/>
  <c r="V24" i="6"/>
  <c r="Q29" i="6"/>
  <c r="S16" i="5"/>
  <c r="O28" i="5"/>
  <c r="R16" i="5"/>
  <c r="R18" i="5"/>
  <c r="R25" i="5"/>
  <c r="R21" i="5"/>
  <c r="R20" i="5"/>
  <c r="R17" i="5"/>
  <c r="R27" i="5"/>
  <c r="R22" i="5"/>
  <c r="R23" i="5"/>
  <c r="K47" i="5" l="1"/>
  <c r="P35" i="5"/>
  <c r="Z25" i="6"/>
  <c r="X25" i="6"/>
  <c r="S17" i="6"/>
  <c r="R29" i="6"/>
  <c r="O18" i="6"/>
  <c r="U18" i="6" s="1"/>
  <c r="T18" i="6"/>
  <c r="Z27" i="6"/>
  <c r="X27" i="6"/>
  <c r="O26" i="6"/>
  <c r="U26" i="6" s="1"/>
  <c r="T26" i="6"/>
  <c r="O20" i="6"/>
  <c r="T20" i="6"/>
  <c r="U25" i="6"/>
  <c r="O22" i="6"/>
  <c r="U22" i="6" s="1"/>
  <c r="T22" i="6"/>
  <c r="O19" i="6"/>
  <c r="U19" i="6" s="1"/>
  <c r="T19" i="6"/>
  <c r="O24" i="6"/>
  <c r="U24" i="6" s="1"/>
  <c r="T24" i="6"/>
  <c r="T23" i="6"/>
  <c r="Z21" i="6"/>
  <c r="X21" i="6"/>
  <c r="Z28" i="6"/>
  <c r="X28" i="6"/>
  <c r="AA28" i="6"/>
  <c r="Y28" i="6"/>
  <c r="L47" i="5"/>
  <c r="Q35" i="5"/>
  <c r="I35" i="5"/>
  <c r="I44" i="5"/>
  <c r="N44" i="5" s="1"/>
  <c r="R37" i="5" s="1" a="1"/>
  <c r="R37" i="5" s="1"/>
  <c r="I43" i="5"/>
  <c r="N43" i="5" s="1"/>
  <c r="R38" i="5" s="1" a="1"/>
  <c r="R38" i="5" s="1"/>
  <c r="I41" i="5"/>
  <c r="N41" i="5" s="1"/>
  <c r="R40" i="5" s="1" a="1"/>
  <c r="R40" i="5" s="1"/>
  <c r="I38" i="5"/>
  <c r="N38" i="5" s="1"/>
  <c r="R43" i="5" s="1" a="1"/>
  <c r="R43" i="5" s="1"/>
  <c r="I37" i="5"/>
  <c r="N37" i="5" s="1"/>
  <c r="R44" i="5" s="1" a="1"/>
  <c r="R44" i="5" s="1"/>
  <c r="I45" i="5"/>
  <c r="N45" i="5" s="1"/>
  <c r="R36" i="5" s="1" a="1"/>
  <c r="R36" i="5" s="1"/>
  <c r="I42" i="5"/>
  <c r="N42" i="5" s="1"/>
  <c r="R39" i="5" s="1" a="1"/>
  <c r="R39" i="5" s="1"/>
  <c r="I40" i="5"/>
  <c r="I36" i="5"/>
  <c r="N36" i="5" s="1"/>
  <c r="R45" i="5" s="1" a="1"/>
  <c r="R45" i="5" s="1"/>
  <c r="I46" i="5"/>
  <c r="N46" i="5" s="1"/>
  <c r="R35" i="5" s="1" a="1"/>
  <c r="R35" i="5" s="1"/>
  <c r="I39" i="5"/>
  <c r="N39" i="5" s="1"/>
  <c r="R42" i="5" s="1" a="1"/>
  <c r="R42" i="5" s="1"/>
  <c r="I41" i="6"/>
  <c r="I42" i="6"/>
  <c r="I43" i="6"/>
  <c r="I44" i="6"/>
  <c r="I36" i="6"/>
  <c r="I37" i="6"/>
  <c r="I40" i="6"/>
  <c r="I45" i="6"/>
  <c r="I46" i="6"/>
  <c r="I38" i="6"/>
  <c r="I47" i="6"/>
  <c r="I39" i="6"/>
  <c r="W26" i="6"/>
  <c r="W21" i="6"/>
  <c r="W24" i="6"/>
  <c r="W27" i="6"/>
  <c r="W18" i="6"/>
  <c r="W19" i="6"/>
  <c r="W23" i="6"/>
  <c r="V29" i="6"/>
  <c r="R28" i="5"/>
  <c r="S26" i="5"/>
  <c r="S21" i="5"/>
  <c r="S25" i="5"/>
  <c r="S23" i="5"/>
  <c r="S22" i="5"/>
  <c r="S17" i="5"/>
  <c r="S27" i="5"/>
  <c r="S20" i="5"/>
  <c r="S24" i="5"/>
  <c r="S18" i="5"/>
  <c r="S19" i="5"/>
  <c r="P47" i="5" l="1"/>
  <c r="T46" i="5" a="1"/>
  <c r="T46" i="5" s="1"/>
  <c r="T47" i="5" s="1"/>
  <c r="I47" i="5"/>
  <c r="N35" i="5"/>
  <c r="R46" i="5" s="1" a="1"/>
  <c r="R46" i="5" s="1"/>
  <c r="AA19" i="6"/>
  <c r="Y19" i="6"/>
  <c r="U23" i="6"/>
  <c r="AA26" i="6"/>
  <c r="Y26" i="6"/>
  <c r="AA18" i="6"/>
  <c r="Y18" i="6"/>
  <c r="Z26" i="6"/>
  <c r="X26" i="6"/>
  <c r="AA25" i="6"/>
  <c r="Y25" i="6"/>
  <c r="Z20" i="6"/>
  <c r="X20" i="6"/>
  <c r="Z23" i="6"/>
  <c r="X23" i="6"/>
  <c r="Z18" i="6"/>
  <c r="X18" i="6"/>
  <c r="Z22" i="6"/>
  <c r="X22" i="6"/>
  <c r="AA22" i="6"/>
  <c r="Y22" i="6"/>
  <c r="U20" i="6"/>
  <c r="U21" i="6"/>
  <c r="U27" i="6"/>
  <c r="Z24" i="6"/>
  <c r="X24" i="6"/>
  <c r="T17" i="6"/>
  <c r="S29" i="6"/>
  <c r="AA24" i="6"/>
  <c r="Y24" i="6"/>
  <c r="Z19" i="6"/>
  <c r="X19" i="6"/>
  <c r="J42" i="5"/>
  <c r="O42" i="5" s="1"/>
  <c r="S39" i="5" s="1" a="1"/>
  <c r="S39" i="5" s="1"/>
  <c r="U46" i="5" a="1"/>
  <c r="U46" i="5" s="1"/>
  <c r="U47" i="5" s="1"/>
  <c r="Q47" i="5"/>
  <c r="J41" i="5"/>
  <c r="O41" i="5" s="1"/>
  <c r="S40" i="5" s="1" a="1"/>
  <c r="S40" i="5" s="1"/>
  <c r="V43" i="6" a="1"/>
  <c r="V43" i="6" s="1"/>
  <c r="V46" i="6" a="1"/>
  <c r="V46" i="6" s="1"/>
  <c r="J40" i="5"/>
  <c r="O40" i="5" s="1"/>
  <c r="S41" i="5" s="1" a="1"/>
  <c r="S41" i="5" s="1"/>
  <c r="V47" i="6" a="1"/>
  <c r="V47" i="6" s="1"/>
  <c r="J37" i="5"/>
  <c r="O37" i="5" s="1"/>
  <c r="S44" i="5" s="1" a="1"/>
  <c r="S44" i="5" s="1"/>
  <c r="V39" i="6" a="1"/>
  <c r="V39" i="6" s="1"/>
  <c r="J36" i="5"/>
  <c r="O36" i="5" s="1"/>
  <c r="S45" i="5" s="1" a="1"/>
  <c r="S45" i="5" s="1"/>
  <c r="V40" i="6" a="1"/>
  <c r="V40" i="6" s="1"/>
  <c r="V41" i="6" a="1"/>
  <c r="V41" i="6" s="1"/>
  <c r="V42" i="6" a="1"/>
  <c r="V42" i="6" s="1"/>
  <c r="J45" i="5"/>
  <c r="O45" i="5" s="1"/>
  <c r="S36" i="5" s="1" a="1"/>
  <c r="S36" i="5" s="1"/>
  <c r="J44" i="5"/>
  <c r="O44" i="5" s="1"/>
  <c r="S37" i="5" s="1" a="1"/>
  <c r="S37" i="5" s="1"/>
  <c r="I48" i="6"/>
  <c r="J35" i="5"/>
  <c r="O35" i="5" s="1"/>
  <c r="S46" i="5" s="1" a="1"/>
  <c r="S46" i="5" s="1"/>
  <c r="V44" i="6" a="1"/>
  <c r="V44" i="6" s="1"/>
  <c r="J46" i="5"/>
  <c r="O46" i="5" s="1"/>
  <c r="S35" i="5" s="1" a="1"/>
  <c r="S35" i="5" s="1"/>
  <c r="V36" i="6" a="1"/>
  <c r="V36" i="6" s="1"/>
  <c r="J43" i="5"/>
  <c r="O43" i="5" s="1"/>
  <c r="S38" i="5" s="1" a="1"/>
  <c r="S38" i="5" s="1"/>
  <c r="J37" i="6"/>
  <c r="J39" i="6"/>
  <c r="J41" i="6"/>
  <c r="J38" i="6"/>
  <c r="J47" i="6"/>
  <c r="J42" i="6"/>
  <c r="J40" i="6"/>
  <c r="J46" i="6"/>
  <c r="J45" i="6"/>
  <c r="J36" i="6"/>
  <c r="J44" i="6"/>
  <c r="J43" i="6"/>
  <c r="V45" i="6" a="1"/>
  <c r="V45" i="6" s="1"/>
  <c r="J39" i="5"/>
  <c r="O39" i="5" s="1"/>
  <c r="S42" i="5" s="1" a="1"/>
  <c r="S42" i="5" s="1"/>
  <c r="V37" i="6" a="1"/>
  <c r="V37" i="6" s="1"/>
  <c r="J38" i="5"/>
  <c r="O38" i="5" s="1"/>
  <c r="S43" i="5" s="1" a="1"/>
  <c r="S43" i="5" s="1"/>
  <c r="V38" i="6" a="1"/>
  <c r="V38" i="6" s="1"/>
  <c r="W29" i="6"/>
  <c r="N40" i="5"/>
  <c r="R41" i="5" s="1" a="1"/>
  <c r="R41" i="5" s="1"/>
  <c r="S28" i="5"/>
  <c r="R47" i="5" l="1"/>
  <c r="U17" i="6"/>
  <c r="T29" i="6"/>
  <c r="Z17" i="6"/>
  <c r="X17" i="6"/>
  <c r="AA27" i="6"/>
  <c r="Y27" i="6"/>
  <c r="AA21" i="6"/>
  <c r="Y21" i="6"/>
  <c r="AA20" i="6"/>
  <c r="Y20" i="6"/>
  <c r="AA23" i="6"/>
  <c r="Y23" i="6"/>
  <c r="V48" i="6"/>
  <c r="Q38" i="6"/>
  <c r="W45" i="6" a="1"/>
  <c r="W45" i="6" s="1"/>
  <c r="W42" i="6" a="1"/>
  <c r="W42" i="6" s="1"/>
  <c r="Q41" i="6"/>
  <c r="W46" i="6" a="1"/>
  <c r="W46" i="6" s="1"/>
  <c r="Q37" i="6"/>
  <c r="W37" i="6" a="1"/>
  <c r="W37" i="6" s="1"/>
  <c r="Q46" i="6"/>
  <c r="J48" i="6"/>
  <c r="Q39" i="6"/>
  <c r="W44" i="6" a="1"/>
  <c r="W44" i="6" s="1"/>
  <c r="W40" i="6" a="1"/>
  <c r="W40" i="6" s="1"/>
  <c r="Q43" i="6"/>
  <c r="W47" i="6" a="1"/>
  <c r="W47" i="6" s="1"/>
  <c r="Q36" i="6"/>
  <c r="J47" i="5"/>
  <c r="W41" i="6" a="1"/>
  <c r="W41" i="6" s="1"/>
  <c r="Q42" i="6"/>
  <c r="W39" i="6" a="1"/>
  <c r="W39" i="6" s="1"/>
  <c r="Q44" i="6"/>
  <c r="W38" i="6" a="1"/>
  <c r="W38" i="6" s="1"/>
  <c r="Q45" i="6"/>
  <c r="W43" i="6" a="1"/>
  <c r="W43" i="6" s="1"/>
  <c r="Q40" i="6"/>
  <c r="W36" i="6" a="1"/>
  <c r="W36" i="6" s="1"/>
  <c r="Q47" i="6"/>
  <c r="N47" i="5"/>
  <c r="O47" i="5"/>
  <c r="S47" i="5"/>
  <c r="K40" i="6" l="1"/>
  <c r="K45" i="6"/>
  <c r="K46" i="6"/>
  <c r="K47" i="6"/>
  <c r="K36" i="6"/>
  <c r="K43" i="6"/>
  <c r="K44" i="6"/>
  <c r="K37" i="6"/>
  <c r="X29" i="6"/>
  <c r="K41" i="6"/>
  <c r="K42" i="6"/>
  <c r="K39" i="6"/>
  <c r="K38" i="6"/>
  <c r="M37" i="6"/>
  <c r="M39" i="6"/>
  <c r="M45" i="6"/>
  <c r="M46" i="6"/>
  <c r="M47" i="6"/>
  <c r="M36" i="6"/>
  <c r="M38" i="6"/>
  <c r="M44" i="6"/>
  <c r="M41" i="6"/>
  <c r="M43" i="6"/>
  <c r="Z29" i="6"/>
  <c r="M40" i="6"/>
  <c r="M42" i="6"/>
  <c r="U29" i="6"/>
  <c r="AA17" i="6"/>
  <c r="Y17" i="6"/>
  <c r="Q48" i="6"/>
  <c r="W48" i="6"/>
  <c r="H27" i="2"/>
  <c r="H26" i="2"/>
  <c r="H25" i="2"/>
  <c r="H24" i="2"/>
  <c r="H23" i="2"/>
  <c r="H22" i="2"/>
  <c r="H21" i="2"/>
  <c r="H20" i="2"/>
  <c r="H19" i="2"/>
  <c r="H18" i="2"/>
  <c r="H17" i="2"/>
  <c r="B17" i="2"/>
  <c r="B18" i="2"/>
  <c r="B19" i="2"/>
  <c r="B20" i="2"/>
  <c r="B21" i="2"/>
  <c r="B22" i="2"/>
  <c r="B23" i="2"/>
  <c r="B24" i="2"/>
  <c r="B25" i="2"/>
  <c r="B26" i="2"/>
  <c r="B27" i="2"/>
  <c r="C27" i="2" s="1"/>
  <c r="B28" i="2"/>
  <c r="B29" i="2"/>
  <c r="B30" i="2"/>
  <c r="B31" i="2"/>
  <c r="B32" i="2"/>
  <c r="B33" i="2"/>
  <c r="B34" i="2"/>
  <c r="B35" i="2"/>
  <c r="B36" i="2"/>
  <c r="B37" i="2"/>
  <c r="B38" i="2"/>
  <c r="B39" i="2"/>
  <c r="B16" i="2"/>
  <c r="Z36" i="6" l="1" a="1"/>
  <c r="Z36" i="6" s="1"/>
  <c r="T47" i="6"/>
  <c r="P47" i="6"/>
  <c r="Z46" i="6" a="1"/>
  <c r="Z46" i="6" s="1"/>
  <c r="T37" i="6"/>
  <c r="P37" i="6"/>
  <c r="L38" i="6"/>
  <c r="L40" i="6"/>
  <c r="L47" i="6"/>
  <c r="L39" i="6"/>
  <c r="L46" i="6"/>
  <c r="L43" i="6"/>
  <c r="L45" i="6"/>
  <c r="L36" i="6"/>
  <c r="Y29" i="6"/>
  <c r="L44" i="6"/>
  <c r="L42" i="6"/>
  <c r="L41" i="6"/>
  <c r="L37" i="6"/>
  <c r="X45" i="6" a="1"/>
  <c r="X45" i="6" s="1"/>
  <c r="R38" i="6"/>
  <c r="N40" i="6"/>
  <c r="N41" i="6"/>
  <c r="N37" i="6"/>
  <c r="N38" i="6"/>
  <c r="N42" i="6"/>
  <c r="N44" i="6"/>
  <c r="N39" i="6"/>
  <c r="N43" i="6"/>
  <c r="N45" i="6"/>
  <c r="N36" i="6"/>
  <c r="N46" i="6"/>
  <c r="N47" i="6"/>
  <c r="AA29" i="6"/>
  <c r="R39" i="6"/>
  <c r="X44" i="6" a="1"/>
  <c r="X44" i="6" s="1"/>
  <c r="R45" i="6"/>
  <c r="X38" i="6" a="1"/>
  <c r="X38" i="6" s="1"/>
  <c r="T39" i="6"/>
  <c r="Z44" i="6" a="1"/>
  <c r="Z44" i="6" s="1"/>
  <c r="P39" i="6"/>
  <c r="T42" i="6"/>
  <c r="Z41" i="6" a="1"/>
  <c r="Z41" i="6" s="1"/>
  <c r="P42" i="6"/>
  <c r="Z43" i="6" a="1"/>
  <c r="Z43" i="6" s="1"/>
  <c r="T40" i="6"/>
  <c r="P40" i="6"/>
  <c r="R44" i="6"/>
  <c r="X39" i="6" a="1"/>
  <c r="X39" i="6" s="1"/>
  <c r="T44" i="6"/>
  <c r="Z39" i="6" a="1"/>
  <c r="Z39" i="6" s="1"/>
  <c r="P44" i="6"/>
  <c r="R36" i="6"/>
  <c r="K48" i="6"/>
  <c r="X47" i="6" a="1"/>
  <c r="X47" i="6" s="1"/>
  <c r="Z38" i="6" a="1"/>
  <c r="Z38" i="6" s="1"/>
  <c r="T45" i="6"/>
  <c r="P45" i="6"/>
  <c r="X41" i="6" a="1"/>
  <c r="X41" i="6" s="1"/>
  <c r="R42" i="6"/>
  <c r="R37" i="6"/>
  <c r="X46" i="6" a="1"/>
  <c r="X46" i="6" s="1"/>
  <c r="Z42" i="6" a="1"/>
  <c r="Z42" i="6" s="1"/>
  <c r="T41" i="6"/>
  <c r="P41" i="6"/>
  <c r="Z45" i="6" a="1"/>
  <c r="Z45" i="6" s="1"/>
  <c r="T38" i="6"/>
  <c r="P38" i="6"/>
  <c r="R47" i="6"/>
  <c r="X36" i="6" a="1"/>
  <c r="X36" i="6" s="1"/>
  <c r="T46" i="6"/>
  <c r="Z37" i="6" a="1"/>
  <c r="Z37" i="6" s="1"/>
  <c r="P46" i="6"/>
  <c r="R41" i="6"/>
  <c r="X42" i="6" a="1"/>
  <c r="X42" i="6" s="1"/>
  <c r="T43" i="6"/>
  <c r="Z40" i="6" a="1"/>
  <c r="Z40" i="6" s="1"/>
  <c r="P43" i="6"/>
  <c r="X40" i="6" a="1"/>
  <c r="X40" i="6" s="1"/>
  <c r="R43" i="6"/>
  <c r="T36" i="6"/>
  <c r="M48" i="6"/>
  <c r="Z47" i="6" a="1"/>
  <c r="Z47" i="6" s="1"/>
  <c r="P36" i="6"/>
  <c r="R46" i="6"/>
  <c r="X37" i="6" a="1"/>
  <c r="X37" i="6" s="1"/>
  <c r="X43" i="6" a="1"/>
  <c r="X43" i="6" s="1"/>
  <c r="R40" i="6"/>
  <c r="C24" i="2"/>
  <c r="C16" i="2"/>
  <c r="C26" i="2"/>
  <c r="C25" i="2"/>
  <c r="C23" i="2"/>
  <c r="C22" i="2"/>
  <c r="C21" i="2"/>
  <c r="C20" i="2"/>
  <c r="C19" i="2"/>
  <c r="C18" i="2"/>
  <c r="C17" i="2"/>
  <c r="L16" i="2"/>
  <c r="Z48" i="6" l="1"/>
  <c r="AA44" i="6" a="1"/>
  <c r="AA44" i="6" s="1"/>
  <c r="U39" i="6"/>
  <c r="S43" i="6"/>
  <c r="Y40" i="6" a="1"/>
  <c r="Y40" i="6" s="1"/>
  <c r="AA36" i="6" a="1"/>
  <c r="AA36" i="6" s="1"/>
  <c r="U47" i="6"/>
  <c r="L48" i="6"/>
  <c r="S36" i="6"/>
  <c r="Y47" i="6" a="1"/>
  <c r="Y47" i="6" s="1"/>
  <c r="AA39" i="6" a="1"/>
  <c r="AA39" i="6" s="1"/>
  <c r="U44" i="6"/>
  <c r="AA45" i="6" a="1"/>
  <c r="AA45" i="6" s="1"/>
  <c r="U38" i="6"/>
  <c r="Y36" i="6" a="1"/>
  <c r="Y36" i="6" s="1"/>
  <c r="S47" i="6"/>
  <c r="AA46" i="6" a="1"/>
  <c r="AA46" i="6" s="1"/>
  <c r="U37" i="6"/>
  <c r="Y43" i="6" a="1"/>
  <c r="Y43" i="6" s="1"/>
  <c r="S40" i="6"/>
  <c r="AA47" i="6" a="1"/>
  <c r="AA47" i="6" s="1"/>
  <c r="N48" i="6"/>
  <c r="U36" i="6"/>
  <c r="S45" i="6"/>
  <c r="Y38" i="6" a="1"/>
  <c r="Y38" i="6" s="1"/>
  <c r="S39" i="6"/>
  <c r="Y44" i="6" a="1"/>
  <c r="Y44" i="6" s="1"/>
  <c r="X48" i="6"/>
  <c r="U40" i="6"/>
  <c r="AA43" i="6" a="1"/>
  <c r="AA43" i="6" s="1"/>
  <c r="R48" i="6"/>
  <c r="T48" i="6"/>
  <c r="S42" i="6"/>
  <c r="Y41" i="6" a="1"/>
  <c r="Y41" i="6" s="1"/>
  <c r="S44" i="6"/>
  <c r="Y39" i="6" a="1"/>
  <c r="Y39" i="6" s="1"/>
  <c r="U45" i="6"/>
  <c r="AA38" i="6" a="1"/>
  <c r="AA38" i="6" s="1"/>
  <c r="AA40" i="6" a="1"/>
  <c r="AA40" i="6" s="1"/>
  <c r="U43" i="6"/>
  <c r="Y37" i="6" a="1"/>
  <c r="Y37" i="6" s="1"/>
  <c r="S46" i="6"/>
  <c r="U41" i="6"/>
  <c r="AA42" i="6" a="1"/>
  <c r="AA42" i="6" s="1"/>
  <c r="U46" i="6"/>
  <c r="AA37" i="6" a="1"/>
  <c r="AA37" i="6" s="1"/>
  <c r="AA41" i="6" a="1"/>
  <c r="AA41" i="6" s="1"/>
  <c r="U42" i="6"/>
  <c r="S38" i="6"/>
  <c r="Y45" i="6" a="1"/>
  <c r="Y45" i="6" s="1"/>
  <c r="Y46" i="6" a="1"/>
  <c r="Y46" i="6" s="1"/>
  <c r="S37" i="6"/>
  <c r="P48" i="6"/>
  <c r="S41" i="6"/>
  <c r="Y42" i="6" a="1"/>
  <c r="Y42" i="6" s="1"/>
  <c r="J28" i="2"/>
  <c r="L17" i="2"/>
  <c r="L18" i="2"/>
  <c r="L19" i="2"/>
  <c r="L20" i="2"/>
  <c r="L21" i="2"/>
  <c r="L22" i="2"/>
  <c r="L23" i="2"/>
  <c r="L24" i="2"/>
  <c r="L25" i="2"/>
  <c r="L26" i="2"/>
  <c r="L27" i="2"/>
  <c r="I9" i="2"/>
  <c r="K28" i="2"/>
  <c r="Y48" i="6" l="1"/>
  <c r="S48" i="6"/>
  <c r="U48" i="6"/>
  <c r="AA48" i="6"/>
  <c r="I41" i="2"/>
  <c r="L41" i="2" s="1"/>
  <c r="N40" i="2" s="1"/>
  <c r="I39" i="2"/>
  <c r="L39" i="2" s="1"/>
  <c r="N42" i="2" s="1"/>
  <c r="I45" i="2"/>
  <c r="L45" i="2" s="1"/>
  <c r="N36" i="2" s="1"/>
  <c r="I35" i="2"/>
  <c r="L35" i="2" s="1"/>
  <c r="I40" i="2"/>
  <c r="L40" i="2" s="1"/>
  <c r="N41" i="2" s="1"/>
  <c r="I36" i="2"/>
  <c r="L36" i="2" s="1"/>
  <c r="N45" i="2" s="1"/>
  <c r="I43" i="2"/>
  <c r="L43" i="2" s="1"/>
  <c r="N38" i="2" s="1"/>
  <c r="I37" i="2"/>
  <c r="L37" i="2" s="1"/>
  <c r="N44" i="2" s="1"/>
  <c r="I44" i="2"/>
  <c r="L44" i="2" s="1"/>
  <c r="N37" i="2" s="1"/>
  <c r="I46" i="2"/>
  <c r="L46" i="2" s="1"/>
  <c r="N35" i="2" s="1"/>
  <c r="I42" i="2"/>
  <c r="L42" i="2" s="1"/>
  <c r="N39" i="2" s="1"/>
  <c r="I38" i="2"/>
  <c r="L38" i="2" s="1"/>
  <c r="N43" i="2" s="1"/>
  <c r="M27" i="2"/>
  <c r="M18" i="2"/>
  <c r="M19" i="2"/>
  <c r="M20" i="2"/>
  <c r="M21" i="2"/>
  <c r="M22" i="2"/>
  <c r="M23" i="2"/>
  <c r="M25" i="2"/>
  <c r="M26" i="2"/>
  <c r="M24" i="2"/>
  <c r="M17" i="2"/>
  <c r="L28" i="2"/>
  <c r="M16" i="2"/>
  <c r="J41" i="2" l="1"/>
  <c r="M41" i="2" s="1"/>
  <c r="O40" i="2" s="1"/>
  <c r="J39" i="2"/>
  <c r="M39" i="2" s="1"/>
  <c r="O42" i="2" s="1"/>
  <c r="J36" i="2"/>
  <c r="M36" i="2" s="1"/>
  <c r="O45" i="2" s="1"/>
  <c r="J35" i="2"/>
  <c r="M35" i="2" s="1"/>
  <c r="J40" i="2"/>
  <c r="M40" i="2" s="1"/>
  <c r="O41" i="2" s="1"/>
  <c r="J45" i="2"/>
  <c r="M45" i="2" s="1"/>
  <c r="O36" i="2" s="1"/>
  <c r="J43" i="2"/>
  <c r="M43" i="2" s="1"/>
  <c r="O38" i="2" s="1"/>
  <c r="J37" i="2"/>
  <c r="M37" i="2" s="1"/>
  <c r="O44" i="2" s="1"/>
  <c r="J44" i="2"/>
  <c r="M44" i="2" s="1"/>
  <c r="O37" i="2" s="1"/>
  <c r="J42" i="2"/>
  <c r="M42" i="2" s="1"/>
  <c r="O39" i="2" s="1"/>
  <c r="J38" i="2"/>
  <c r="M38" i="2" s="1"/>
  <c r="O43" i="2" s="1"/>
  <c r="J46" i="2"/>
  <c r="M46" i="2" s="1"/>
  <c r="O35" i="2" s="1"/>
  <c r="I47" i="2"/>
  <c r="M28" i="2"/>
  <c r="N46" i="2"/>
  <c r="N47" i="2" s="1"/>
  <c r="L47" i="2"/>
  <c r="J47" i="2" l="1"/>
  <c r="M47" i="2"/>
  <c r="O46" i="2"/>
  <c r="O47" i="2" l="1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<sst xmlns="http://schemas.openxmlformats.org/spreadsheetml/2006/main" count="1942" uniqueCount="1003">
  <si>
    <t>PREPARATION OF SYNTHETIC UNIT HYDROGRAPH</t>
  </si>
  <si>
    <t>Sub zone</t>
  </si>
  <si>
    <t>Name of Site</t>
  </si>
  <si>
    <t>Location</t>
  </si>
  <si>
    <t>Sq km</t>
  </si>
  <si>
    <t>Length of Longest Stream (L)</t>
  </si>
  <si>
    <t>Km</t>
  </si>
  <si>
    <t>Length of Centroid Center (Lc)</t>
  </si>
  <si>
    <t>A : Physiographic Parameters</t>
  </si>
  <si>
    <t>Table 1 - Computation of Equivalent Slope (S)</t>
  </si>
  <si>
    <t>S.No.</t>
  </si>
  <si>
    <t>TOTAL</t>
  </si>
  <si>
    <t>m/Km</t>
  </si>
  <si>
    <t>Chainage (Kms)</t>
  </si>
  <si>
    <t>RL of River bed (m)</t>
  </si>
  <si>
    <r>
      <t>Length of each Segment L</t>
    </r>
    <r>
      <rPr>
        <b/>
        <vertAlign val="subscript"/>
        <sz val="10"/>
        <color theme="1"/>
        <rFont val="Calibri"/>
        <family val="2"/>
        <scheme val="minor"/>
      </rPr>
      <t xml:space="preserve">i </t>
    </r>
    <r>
      <rPr>
        <b/>
        <sz val="10"/>
        <color theme="1"/>
        <rFont val="Calibri"/>
        <family val="2"/>
        <scheme val="minor"/>
      </rPr>
      <t>(Km)</t>
    </r>
  </si>
  <si>
    <r>
      <t>D</t>
    </r>
    <r>
      <rPr>
        <b/>
        <vertAlign val="subscript"/>
        <sz val="10"/>
        <color theme="1"/>
        <rFont val="Calibri"/>
        <family val="2"/>
        <scheme val="minor"/>
      </rPr>
      <t>i-1</t>
    </r>
    <r>
      <rPr>
        <b/>
        <sz val="10"/>
        <color theme="1"/>
        <rFont val="Calibri"/>
        <family val="2"/>
        <scheme val="minor"/>
      </rPr>
      <t xml:space="preserve"> + D</t>
    </r>
    <r>
      <rPr>
        <b/>
        <vertAlign val="subscript"/>
        <sz val="10"/>
        <color theme="1"/>
        <rFont val="Calibri"/>
        <family val="2"/>
        <scheme val="minor"/>
      </rPr>
      <t>i</t>
    </r>
    <r>
      <rPr>
        <b/>
        <sz val="10"/>
        <color theme="1"/>
        <rFont val="Calibri"/>
        <family val="2"/>
        <scheme val="minor"/>
      </rPr>
      <t xml:space="preserve"> (m)</t>
    </r>
  </si>
  <si>
    <r>
      <t>L</t>
    </r>
    <r>
      <rPr>
        <b/>
        <vertAlign val="subscript"/>
        <sz val="10"/>
        <color theme="1"/>
        <rFont val="Calibri"/>
        <family val="2"/>
        <scheme val="minor"/>
      </rPr>
      <t xml:space="preserve">i </t>
    </r>
    <r>
      <rPr>
        <b/>
        <sz val="10"/>
        <color theme="1"/>
        <rFont val="Calibri"/>
        <family val="2"/>
        <scheme val="minor"/>
      </rPr>
      <t>(D</t>
    </r>
    <r>
      <rPr>
        <b/>
        <vertAlign val="subscript"/>
        <sz val="10"/>
        <color theme="1"/>
        <rFont val="Calibri"/>
        <family val="2"/>
        <scheme val="minor"/>
      </rPr>
      <t>i-1</t>
    </r>
    <r>
      <rPr>
        <b/>
        <sz val="10"/>
        <color theme="1"/>
        <rFont val="Calibri"/>
        <family val="2"/>
        <scheme val="minor"/>
      </rPr>
      <t xml:space="preserve"> + D</t>
    </r>
    <r>
      <rPr>
        <b/>
        <vertAlign val="subscript"/>
        <sz val="10"/>
        <color theme="1"/>
        <rFont val="Calibri"/>
        <family val="2"/>
        <scheme val="minor"/>
      </rPr>
      <t>i</t>
    </r>
    <r>
      <rPr>
        <b/>
        <sz val="10"/>
        <color theme="1"/>
        <rFont val="Calibri"/>
        <family val="2"/>
        <scheme val="minor"/>
      </rPr>
      <t>) (mxKm)</t>
    </r>
  </si>
  <si>
    <r>
      <t>Height above datum (D</t>
    </r>
    <r>
      <rPr>
        <b/>
        <vertAlign val="subscript"/>
        <sz val="10"/>
        <color theme="1"/>
        <rFont val="Calibri"/>
        <family val="2"/>
        <scheme val="minor"/>
      </rPr>
      <t>i</t>
    </r>
    <r>
      <rPr>
        <b/>
        <sz val="10"/>
        <color theme="1"/>
        <rFont val="Calibri"/>
        <family val="2"/>
        <scheme val="minor"/>
      </rPr>
      <t>) (m)</t>
    </r>
  </si>
  <si>
    <r>
      <t>Equivalent stream Slope (S)  = Σ (Li*(D</t>
    </r>
    <r>
      <rPr>
        <vertAlign val="subscript"/>
        <sz val="10"/>
        <color theme="1"/>
        <rFont val="Calibri"/>
        <family val="2"/>
        <scheme val="minor"/>
      </rPr>
      <t>i-1</t>
    </r>
    <r>
      <rPr>
        <sz val="10"/>
        <color theme="1"/>
        <rFont val="Calibri"/>
        <family val="2"/>
        <scheme val="minor"/>
      </rPr>
      <t>+D</t>
    </r>
    <r>
      <rPr>
        <vertAlign val="subscript"/>
        <sz val="10"/>
        <color theme="1"/>
        <rFont val="Calibri"/>
        <family val="2"/>
        <scheme val="minor"/>
      </rPr>
      <t>i</t>
    </r>
    <r>
      <rPr>
        <sz val="10"/>
        <color theme="1"/>
        <rFont val="Calibri"/>
        <family val="2"/>
        <scheme val="minor"/>
      </rPr>
      <t>))/L</t>
    </r>
    <r>
      <rPr>
        <vertAlign val="superscript"/>
        <sz val="10"/>
        <color theme="1"/>
        <rFont val="Calibri"/>
        <family val="2"/>
        <scheme val="minor"/>
      </rPr>
      <t>2</t>
    </r>
  </si>
  <si>
    <t>Sl. No.</t>
  </si>
  <si>
    <t>Parameter</t>
  </si>
  <si>
    <t>Unit</t>
  </si>
  <si>
    <t>Synthetic Relationship</t>
  </si>
  <si>
    <t>Calculated Value</t>
  </si>
  <si>
    <t>Adopted Value</t>
  </si>
  <si>
    <t>Remark</t>
  </si>
  <si>
    <t>tr</t>
  </si>
  <si>
    <t>Hours</t>
  </si>
  <si>
    <t>1 Hr Duration</t>
  </si>
  <si>
    <t>-</t>
  </si>
  <si>
    <t>tp</t>
  </si>
  <si>
    <t>Cumec/sq.km.</t>
  </si>
  <si>
    <t>Cumec</t>
  </si>
  <si>
    <r>
      <t>q</t>
    </r>
    <r>
      <rPr>
        <vertAlign val="subscript"/>
        <sz val="10"/>
        <rFont val="Calibri"/>
        <family val="2"/>
        <scheme val="minor"/>
      </rPr>
      <t>p</t>
    </r>
  </si>
  <si>
    <r>
      <t>Q</t>
    </r>
    <r>
      <rPr>
        <vertAlign val="subscript"/>
        <sz val="10"/>
        <rFont val="Calibri"/>
        <family val="2"/>
        <scheme val="minor"/>
      </rPr>
      <t>p</t>
    </r>
  </si>
  <si>
    <r>
      <t>T</t>
    </r>
    <r>
      <rPr>
        <vertAlign val="subscript"/>
        <sz val="10"/>
        <rFont val="Calibri"/>
        <family val="2"/>
        <scheme val="minor"/>
      </rPr>
      <t>m</t>
    </r>
  </si>
  <si>
    <r>
      <t>T</t>
    </r>
    <r>
      <rPr>
        <vertAlign val="subscript"/>
        <sz val="10"/>
        <rFont val="Calibri"/>
        <family val="2"/>
        <scheme val="minor"/>
      </rPr>
      <t>m</t>
    </r>
    <r>
      <rPr>
        <sz val="10"/>
        <rFont val="Calibri"/>
        <family val="2"/>
        <scheme val="minor"/>
      </rPr>
      <t xml:space="preserve"> = tp + tr/2</t>
    </r>
  </si>
  <si>
    <r>
      <t>W</t>
    </r>
    <r>
      <rPr>
        <vertAlign val="subscript"/>
        <sz val="10"/>
        <rFont val="Calibri"/>
        <family val="2"/>
        <scheme val="minor"/>
      </rPr>
      <t>50</t>
    </r>
  </si>
  <si>
    <r>
      <t>W</t>
    </r>
    <r>
      <rPr>
        <vertAlign val="subscript"/>
        <sz val="10"/>
        <rFont val="Calibri"/>
        <family val="2"/>
        <scheme val="minor"/>
      </rPr>
      <t>75</t>
    </r>
  </si>
  <si>
    <r>
      <t>W</t>
    </r>
    <r>
      <rPr>
        <vertAlign val="subscript"/>
        <sz val="10"/>
        <rFont val="Calibri"/>
        <family val="2"/>
        <scheme val="minor"/>
      </rPr>
      <t>R50</t>
    </r>
  </si>
  <si>
    <r>
      <t>W</t>
    </r>
    <r>
      <rPr>
        <vertAlign val="subscript"/>
        <sz val="10"/>
        <rFont val="Calibri"/>
        <family val="2"/>
        <scheme val="minor"/>
      </rPr>
      <t>R75</t>
    </r>
  </si>
  <si>
    <r>
      <t>T</t>
    </r>
    <r>
      <rPr>
        <vertAlign val="subscript"/>
        <sz val="10"/>
        <rFont val="Calibri"/>
        <family val="2"/>
        <scheme val="minor"/>
      </rPr>
      <t>B</t>
    </r>
  </si>
  <si>
    <t>Subzone</t>
  </si>
  <si>
    <t>Base flow
(cumec/sq.km)</t>
  </si>
  <si>
    <t>Loss rate
(cm/hr)</t>
  </si>
  <si>
    <t>Linear</t>
  </si>
  <si>
    <t>Power</t>
  </si>
  <si>
    <t>3a</t>
  </si>
  <si>
    <t>3b</t>
  </si>
  <si>
    <t>3c</t>
  </si>
  <si>
    <t>3e</t>
  </si>
  <si>
    <t>2a</t>
  </si>
  <si>
    <t>5a</t>
  </si>
  <si>
    <t>1c</t>
  </si>
  <si>
    <t>3d</t>
  </si>
  <si>
    <t>3f</t>
  </si>
  <si>
    <t>1b</t>
  </si>
  <si>
    <t>3i</t>
  </si>
  <si>
    <t>3h</t>
  </si>
  <si>
    <r>
      <t>t</t>
    </r>
    <r>
      <rPr>
        <b/>
        <vertAlign val="subscript"/>
        <sz val="11"/>
        <color rgb="FF000000"/>
        <rFont val="Calibri"/>
        <family val="2"/>
      </rPr>
      <t xml:space="preserve">p </t>
    </r>
  </si>
  <si>
    <r>
      <t>q</t>
    </r>
    <r>
      <rPr>
        <b/>
        <vertAlign val="subscript"/>
        <sz val="11"/>
        <color rgb="FF000000"/>
        <rFont val="Calibri"/>
        <family val="2"/>
      </rPr>
      <t xml:space="preserve">p </t>
    </r>
  </si>
  <si>
    <r>
      <t>T</t>
    </r>
    <r>
      <rPr>
        <b/>
        <vertAlign val="subscript"/>
        <sz val="11"/>
        <color rgb="FF000000"/>
        <rFont val="Calibri"/>
        <family val="2"/>
      </rPr>
      <t>b</t>
    </r>
    <r>
      <rPr>
        <b/>
        <sz val="11"/>
        <color indexed="8"/>
        <rFont val="Calibri"/>
        <family val="2"/>
      </rPr>
      <t xml:space="preserve"> </t>
    </r>
  </si>
  <si>
    <r>
      <t>W</t>
    </r>
    <r>
      <rPr>
        <b/>
        <vertAlign val="subscript"/>
        <sz val="11"/>
        <color rgb="FF000000"/>
        <rFont val="Calibri"/>
        <family val="2"/>
      </rPr>
      <t xml:space="preserve">50 </t>
    </r>
  </si>
  <si>
    <r>
      <t>w</t>
    </r>
    <r>
      <rPr>
        <b/>
        <vertAlign val="subscript"/>
        <sz val="11"/>
        <color rgb="FF000000"/>
        <rFont val="Calibri"/>
        <family val="2"/>
      </rPr>
      <t>75</t>
    </r>
    <r>
      <rPr>
        <b/>
        <sz val="11"/>
        <color indexed="8"/>
        <rFont val="Calibri"/>
        <family val="2"/>
      </rPr>
      <t xml:space="preserve"> </t>
    </r>
  </si>
  <si>
    <r>
      <t>W</t>
    </r>
    <r>
      <rPr>
        <b/>
        <vertAlign val="subscript"/>
        <sz val="11"/>
        <color rgb="FF000000"/>
        <rFont val="Calibri"/>
        <family val="2"/>
      </rPr>
      <t>r50</t>
    </r>
    <r>
      <rPr>
        <b/>
        <sz val="11"/>
        <color indexed="8"/>
        <rFont val="Calibri"/>
        <family val="2"/>
      </rPr>
      <t xml:space="preserve"> </t>
    </r>
  </si>
  <si>
    <r>
      <t>W</t>
    </r>
    <r>
      <rPr>
        <b/>
        <vertAlign val="subscript"/>
        <sz val="11"/>
        <color rgb="FF000000"/>
        <rFont val="Calibri"/>
        <family val="2"/>
      </rPr>
      <t>r75</t>
    </r>
  </si>
  <si>
    <t>Rajghat Dam</t>
  </si>
  <si>
    <t>Betwa River</t>
  </si>
  <si>
    <t>Lalitpur MP</t>
  </si>
  <si>
    <t>Name of River</t>
  </si>
  <si>
    <t>Catchment ID</t>
  </si>
  <si>
    <r>
      <t>Q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=q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xA</t>
    </r>
  </si>
  <si>
    <r>
      <t>T</t>
    </r>
    <r>
      <rPr>
        <vertAlign val="subscript"/>
        <sz val="10"/>
        <rFont val="Calibri"/>
        <family val="2"/>
        <scheme val="minor"/>
      </rPr>
      <t>D</t>
    </r>
  </si>
  <si>
    <r>
      <t>T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=1.1*Tp</t>
    </r>
  </si>
  <si>
    <t>tp    =</t>
  </si>
  <si>
    <t>Time from the Centre of Unit Rainfall duration to the Peak of Unit Hydrograph in hour</t>
  </si>
  <si>
    <t>Peak Discharge of Unit Hydrograph per unit area in cumecs/sq.km.</t>
  </si>
  <si>
    <t>Width of Unit hydrograph measure at 50% max Discharge ordinate (Qp) in hour</t>
  </si>
  <si>
    <t>Width of Unit hydrograph measure at 75% max Discharge ordinate (Qp) in hour</t>
  </si>
  <si>
    <t>Width of the Rising side of the Unit hydrograph measure at 50% max Discharge ordinate (Qp) in hour</t>
  </si>
  <si>
    <t>Width of the Rising side of the Unit hydrograph measure at 75% max Discharge ordinate (Qp) in hour</t>
  </si>
  <si>
    <t>Base Width of Unit Hydrograph in hour</t>
  </si>
  <si>
    <t>Time from the Start of Rise of the Peak of unit Hyrograph in hour</t>
  </si>
  <si>
    <t>Peak Discharge of Unit Hydrograph in cumecs</t>
  </si>
  <si>
    <t>L    =</t>
  </si>
  <si>
    <t>Length for Longest main stream along the river course in km.</t>
  </si>
  <si>
    <t>S    =</t>
  </si>
  <si>
    <t>Equivalent Stream Slope in m/Km</t>
  </si>
  <si>
    <t>tr    =</t>
  </si>
  <si>
    <t>Unit Rainfall Duration adopted in a Specific Study in hour</t>
  </si>
  <si>
    <t>A    =</t>
  </si>
  <si>
    <t>Catchment Area in sq. km.</t>
  </si>
  <si>
    <t>Sno.</t>
  </si>
  <si>
    <t>Time (hours)</t>
  </si>
  <si>
    <t>Discharge (cumec)</t>
  </si>
  <si>
    <t>Area (Cumec-hour)</t>
  </si>
  <si>
    <t>Area of 1 hour SUH</t>
  </si>
  <si>
    <t>Check:</t>
  </si>
  <si>
    <t>The area of unit Hydrograph</t>
  </si>
  <si>
    <t>cumec hour</t>
  </si>
  <si>
    <t>Ham</t>
  </si>
  <si>
    <t xml:space="preserve">Equivalent depth </t>
  </si>
  <si>
    <t>cm</t>
  </si>
  <si>
    <t>( Almost equal to 1)</t>
  </si>
  <si>
    <t>Area (Sq Km)</t>
  </si>
  <si>
    <t>Min</t>
  </si>
  <si>
    <t>Max</t>
  </si>
  <si>
    <t>Isohytes (mm)</t>
  </si>
  <si>
    <t>Mean Rainfall (mm)</t>
  </si>
  <si>
    <t>Weighted Rainfall (mm)</t>
  </si>
  <si>
    <t>1 Day Rainfall</t>
  </si>
  <si>
    <t>SPS 1 day</t>
  </si>
  <si>
    <t>Clock Hour Correction</t>
  </si>
  <si>
    <t>Moisture Maximum Factor (MMF)</t>
  </si>
  <si>
    <t>Point to Areal Rainfall Ratio's (%tage)</t>
  </si>
  <si>
    <t>PMP for 24 Hrs</t>
  </si>
  <si>
    <t>SPS 24 hrs</t>
  </si>
  <si>
    <t>Time</t>
  </si>
  <si>
    <t>Ganga Basin Catchment ID</t>
  </si>
  <si>
    <t>408-Betwa</t>
  </si>
  <si>
    <t>Entire Ganga Basin</t>
  </si>
  <si>
    <t>Sub-
durations
(hours)</t>
  </si>
  <si>
    <t>401A</t>
  </si>
  <si>
    <t>401B</t>
  </si>
  <si>
    <t>403A</t>
  </si>
  <si>
    <t>403B</t>
  </si>
  <si>
    <t>408-
Betwa</t>
  </si>
  <si>
    <t>408-
Ken</t>
  </si>
  <si>
    <t>408-
Sind</t>
  </si>
  <si>
    <t>Rainspells
(&lt;250 mm)</t>
  </si>
  <si>
    <t>Rainspells
(&gt;250 mm)</t>
  </si>
  <si>
    <t>All
Rainspells</t>
  </si>
  <si>
    <t>Rainfall Excess</t>
  </si>
  <si>
    <t>Time
hr</t>
  </si>
  <si>
    <t>1st bell Distribution Coefficient</t>
  </si>
  <si>
    <t>2nd bell Distribution Coefficient</t>
  </si>
  <si>
    <t>1st Rainfall Increments</t>
  </si>
  <si>
    <t>2nd Rainfall Increments</t>
  </si>
  <si>
    <t>1st Bell Rainfall
cm</t>
  </si>
  <si>
    <t>2nd Bell Rainfall
cm</t>
  </si>
  <si>
    <t>Total</t>
  </si>
  <si>
    <t>Critical Sequence of Rainfall Excess</t>
  </si>
  <si>
    <t>U.G. Ordinate</t>
  </si>
  <si>
    <t>Critical Arrangement of Rainfall Increments in bells</t>
  </si>
  <si>
    <t>Loss Rate
cm/hr</t>
  </si>
  <si>
    <t>Critical 1 hr excessive rainfall Arrangement</t>
  </si>
  <si>
    <t>Critical 1Hr excessive Rainfall after reversing</t>
  </si>
  <si>
    <t>1st</t>
  </si>
  <si>
    <t>2nd</t>
  </si>
  <si>
    <t>B. Determination of Synthetic Unit Hydrograph Parameters</t>
  </si>
  <si>
    <t xml:space="preserve">UH Ordinates (cumec) </t>
  </si>
  <si>
    <t>3rd bell Distribution Coefficient</t>
  </si>
  <si>
    <t>4th bell Distribution Coefficient</t>
  </si>
  <si>
    <t>5th bell Distribution Coefficient</t>
  </si>
  <si>
    <t>6th bell Distribution Coefficient</t>
  </si>
  <si>
    <t>3rd Rainfall Increments</t>
  </si>
  <si>
    <t>4th Rainfall Increments</t>
  </si>
  <si>
    <t>5th Rainfall Increments</t>
  </si>
  <si>
    <t>6th Rainfall Increments</t>
  </si>
  <si>
    <t>3rd Bell Rainfall
cm</t>
  </si>
  <si>
    <t>4th Bell Rainfall
cm</t>
  </si>
  <si>
    <t>5th Bell Rainfall
cm</t>
  </si>
  <si>
    <t>6th Bell Rainfall
cm</t>
  </si>
  <si>
    <t>Catchment Wise Smoothened TD Coefficient (24 hrs)</t>
  </si>
  <si>
    <t>Catchment Wise Smoothened TD Coefficient (48 hrs)</t>
  </si>
  <si>
    <t>Entire Basin</t>
  </si>
  <si>
    <t>Loss Rate</t>
  </si>
  <si>
    <t>Base Flow</t>
  </si>
  <si>
    <t>cumecs/sqkm</t>
  </si>
  <si>
    <t>cm/hr</t>
  </si>
  <si>
    <t>U.H.G
Ordinate</t>
  </si>
  <si>
    <t>Flood Hydrograph (Cumec)</t>
  </si>
  <si>
    <t>2 Day Rainfall</t>
  </si>
  <si>
    <t>SPS 2 day</t>
  </si>
  <si>
    <t xml:space="preserve">Table 3-84 </t>
  </si>
  <si>
    <t>Area</t>
  </si>
  <si>
    <t xml:space="preserve">Reduction factor </t>
  </si>
  <si>
    <t>SPS 3 day</t>
  </si>
  <si>
    <t>Normalised Distribution coefficient for 12 hour bell</t>
  </si>
  <si>
    <t>Hourly distribution coefficient of 24 hour rainfall</t>
  </si>
  <si>
    <t>SPS 48 hrs</t>
  </si>
  <si>
    <t>PMP for 48 Hrs</t>
  </si>
  <si>
    <t>3rd</t>
  </si>
  <si>
    <t>4th</t>
  </si>
  <si>
    <t>Critical 1Hr excessive Rainfall after reversing sequence</t>
  </si>
  <si>
    <t>B1</t>
  </si>
  <si>
    <t>B2</t>
  </si>
  <si>
    <t>B3</t>
  </si>
  <si>
    <t>B4</t>
  </si>
  <si>
    <t>1st 12hr Bell PMP depth</t>
  </si>
  <si>
    <t>2nd 12hr Bell PMP depth</t>
  </si>
  <si>
    <t>3rd 12hr Bell PMP depth</t>
  </si>
  <si>
    <t>4th 12hr Bell PMP depth</t>
  </si>
  <si>
    <t>Sub Basin</t>
  </si>
  <si>
    <t>S1</t>
  </si>
  <si>
    <t>1st Day</t>
  </si>
  <si>
    <t>PMP (mm)</t>
  </si>
  <si>
    <t>2nd Day</t>
  </si>
  <si>
    <t>3rd Day</t>
  </si>
  <si>
    <t>2nd Day PMP</t>
  </si>
  <si>
    <t>1st Bell</t>
  </si>
  <si>
    <t>2nd Bell</t>
  </si>
  <si>
    <t>3rd Bell</t>
  </si>
  <si>
    <t>4th Bell</t>
  </si>
  <si>
    <t>5th Bell</t>
  </si>
  <si>
    <t>6th Bell</t>
  </si>
  <si>
    <t>B5</t>
  </si>
  <si>
    <t>B6</t>
  </si>
  <si>
    <t>24 hr depth</t>
  </si>
  <si>
    <t>5th 12hr Bell PMP depth</t>
  </si>
  <si>
    <t>6th 12hr Bell PMP depth</t>
  </si>
  <si>
    <t>SPS 72 hrs</t>
  </si>
  <si>
    <t>PMP for 72 Hrs</t>
  </si>
  <si>
    <t>mm</t>
  </si>
  <si>
    <t>5th</t>
  </si>
  <si>
    <t>6th</t>
  </si>
  <si>
    <t>PMF Hydrograph (Cumec)</t>
  </si>
  <si>
    <t>DRH</t>
  </si>
  <si>
    <t>Seq#</t>
  </si>
  <si>
    <t>Block Order</t>
  </si>
  <si>
    <t>Max AY</t>
  </si>
  <si>
    <t>Row</t>
  </si>
  <si>
    <t>B1-B2-B3-B4</t>
  </si>
  <si>
    <t>B1-B2-B4-B3</t>
  </si>
  <si>
    <t>B1-B3-B2-B4</t>
  </si>
  <si>
    <t>B1-B3-B4-B2</t>
  </si>
  <si>
    <t>B1-B4-B3-B2</t>
  </si>
  <si>
    <t>B1-B4-B2-B3</t>
  </si>
  <si>
    <t>B2-B1-B3-B4</t>
  </si>
  <si>
    <t>B2-B1-B4-B3</t>
  </si>
  <si>
    <t>B2-B3-B1-B4</t>
  </si>
  <si>
    <t>B2-B3-B4-B1</t>
  </si>
  <si>
    <t>B2-B4-B3-B1</t>
  </si>
  <si>
    <t>B2-B4-B1-B3</t>
  </si>
  <si>
    <t>B3-B2-B1-B4</t>
  </si>
  <si>
    <t>B3-B2-B4-B1</t>
  </si>
  <si>
    <t>B3-B1-B2-B4</t>
  </si>
  <si>
    <t>B3-B1-B4-B2</t>
  </si>
  <si>
    <t>B3-B4-B1-B2</t>
  </si>
  <si>
    <t>B3-B4-B2-B1</t>
  </si>
  <si>
    <t>B4-B2-B3-B1</t>
  </si>
  <si>
    <t>B4-B2-B1-B3</t>
  </si>
  <si>
    <t>B4-B3-B2-B1</t>
  </si>
  <si>
    <t>B4-B3-B1-B2</t>
  </si>
  <si>
    <t>B4-B1-B3-B2</t>
  </si>
  <si>
    <t>B4-B1-B2-B3</t>
  </si>
  <si>
    <t>Best order:</t>
  </si>
  <si>
    <t>Max BW</t>
  </si>
  <si>
    <t>B1-B2-B3-B4-B5-B6</t>
  </si>
  <si>
    <t>B1-B2-B3-B4-B6-B5</t>
  </si>
  <si>
    <t>B1-B2-B3-B5-B4-B6</t>
  </si>
  <si>
    <t>B1-B2-B3-B5-B6-B4</t>
  </si>
  <si>
    <t>B1-B2-B3-B6-B5-B4</t>
  </si>
  <si>
    <t>B1-B2-B3-B6-B4-B5</t>
  </si>
  <si>
    <t>B1-B2-B4-B3-B5-B6</t>
  </si>
  <si>
    <t>B1-B2-B4-B3-B6-B5</t>
  </si>
  <si>
    <t>B1-B2-B4-B5-B3-B6</t>
  </si>
  <si>
    <t>B1-B2-B4-B5-B6-B3</t>
  </si>
  <si>
    <t>B1-B2-B4-B6-B5-B3</t>
  </si>
  <si>
    <t>B1-B2-B4-B6-B3-B5</t>
  </si>
  <si>
    <t>B1-B2-B5-B4-B3-B6</t>
  </si>
  <si>
    <t>B1-B2-B5-B4-B6-B3</t>
  </si>
  <si>
    <t>B1-B2-B5-B3-B4-B6</t>
  </si>
  <si>
    <t>B1-B2-B5-B3-B6-B4</t>
  </si>
  <si>
    <t>B1-B2-B5-B6-B3-B4</t>
  </si>
  <si>
    <t>B1-B2-B5-B6-B4-B3</t>
  </si>
  <si>
    <t>B1-B2-B6-B4-B5-B3</t>
  </si>
  <si>
    <t>B1-B2-B6-B4-B3-B5</t>
  </si>
  <si>
    <t>B1-B2-B6-B5-B4-B3</t>
  </si>
  <si>
    <t>B1-B2-B6-B5-B3-B4</t>
  </si>
  <si>
    <t>B1-B2-B6-B3-B5-B4</t>
  </si>
  <si>
    <t>B1-B2-B6-B3-B4-B5</t>
  </si>
  <si>
    <t>B1-B3-B2-B4-B5-B6</t>
  </si>
  <si>
    <t>B1-B3-B2-B4-B6-B5</t>
  </si>
  <si>
    <t>B1-B3-B2-B5-B4-B6</t>
  </si>
  <si>
    <t>B1-B3-B2-B5-B6-B4</t>
  </si>
  <si>
    <t>B1-B3-B2-B6-B5-B4</t>
  </si>
  <si>
    <t>B1-B3-B2-B6-B4-B5</t>
  </si>
  <si>
    <t>B1-B3-B4-B2-B5-B6</t>
  </si>
  <si>
    <t>B1-B3-B4-B2-B6-B5</t>
  </si>
  <si>
    <t>B1-B3-B4-B5-B2-B6</t>
  </si>
  <si>
    <t>B1-B3-B4-B5-B6-B2</t>
  </si>
  <si>
    <t>B1-B3-B4-B6-B5-B2</t>
  </si>
  <si>
    <t>B1-B3-B4-B6-B2-B5</t>
  </si>
  <si>
    <t>B1-B3-B5-B4-B2-B6</t>
  </si>
  <si>
    <t>B1-B3-B5-B4-B6-B2</t>
  </si>
  <si>
    <t>B1-B3-B5-B2-B4-B6</t>
  </si>
  <si>
    <t>B1-B3-B5-B2-B6-B4</t>
  </si>
  <si>
    <t>B1-B3-B5-B6-B2-B4</t>
  </si>
  <si>
    <t>B1-B3-B5-B6-B4-B2</t>
  </si>
  <si>
    <t>B1-B3-B6-B4-B5-B2</t>
  </si>
  <si>
    <t>B1-B3-B6-B4-B2-B5</t>
  </si>
  <si>
    <t>B1-B3-B6-B5-B4-B2</t>
  </si>
  <si>
    <t>B1-B3-B6-B5-B2-B4</t>
  </si>
  <si>
    <t>B1-B3-B6-B2-B5-B4</t>
  </si>
  <si>
    <t>B1-B3-B6-B2-B4-B5</t>
  </si>
  <si>
    <t>B1-B4-B3-B2-B5-B6</t>
  </si>
  <si>
    <t>B1-B4-B3-B2-B6-B5</t>
  </si>
  <si>
    <t>B1-B4-B3-B5-B2-B6</t>
  </si>
  <si>
    <t>B1-B4-B3-B5-B6-B2</t>
  </si>
  <si>
    <t>B1-B4-B3-B6-B5-B2</t>
  </si>
  <si>
    <t>B1-B4-B3-B6-B2-B5</t>
  </si>
  <si>
    <t>B1-B4-B2-B3-B5-B6</t>
  </si>
  <si>
    <t>B1-B4-B2-B3-B6-B5</t>
  </si>
  <si>
    <t>B1-B4-B2-B5-B3-B6</t>
  </si>
  <si>
    <t>B1-B4-B2-B5-B6-B3</t>
  </si>
  <si>
    <t>B1-B4-B2-B6-B5-B3</t>
  </si>
  <si>
    <t>B1-B4-B2-B6-B3-B5</t>
  </si>
  <si>
    <t>B1-B4-B5-B2-B3-B6</t>
  </si>
  <si>
    <t>B1-B4-B5-B2-B6-B3</t>
  </si>
  <si>
    <t>B1-B4-B5-B3-B2-B6</t>
  </si>
  <si>
    <t>B1-B4-B5-B3-B6-B2</t>
  </si>
  <si>
    <t>B1-B4-B5-B6-B3-B2</t>
  </si>
  <si>
    <t>B1-B4-B5-B6-B2-B3</t>
  </si>
  <si>
    <t>B1-B4-B6-B2-B5-B3</t>
  </si>
  <si>
    <t>B1-B4-B6-B2-B3-B5</t>
  </si>
  <si>
    <t>B1-B4-B6-B5-B2-B3</t>
  </si>
  <si>
    <t>B1-B4-B6-B5-B3-B2</t>
  </si>
  <si>
    <t>B1-B4-B6-B3-B5-B2</t>
  </si>
  <si>
    <t>B1-B4-B6-B3-B2-B5</t>
  </si>
  <si>
    <t>B1-B5-B3-B4-B2-B6</t>
  </si>
  <si>
    <t>B1-B5-B3-B4-B6-B2</t>
  </si>
  <si>
    <t>B1-B5-B3-B2-B4-B6</t>
  </si>
  <si>
    <t>B1-B5-B3-B2-B6-B4</t>
  </si>
  <si>
    <t>B1-B5-B3-B6-B2-B4</t>
  </si>
  <si>
    <t>B1-B5-B3-B6-B4-B2</t>
  </si>
  <si>
    <t>B1-B5-B4-B3-B2-B6</t>
  </si>
  <si>
    <t>B1-B5-B4-B3-B6-B2</t>
  </si>
  <si>
    <t>B1-B5-B4-B2-B3-B6</t>
  </si>
  <si>
    <t>B1-B5-B4-B2-B6-B3</t>
  </si>
  <si>
    <t>B1-B5-B4-B6-B2-B3</t>
  </si>
  <si>
    <t>B1-B5-B4-B6-B3-B2</t>
  </si>
  <si>
    <t>B1-B5-B2-B4-B3-B6</t>
  </si>
  <si>
    <t>B1-B5-B2-B4-B6-B3</t>
  </si>
  <si>
    <t>B1-B5-B2-B3-B4-B6</t>
  </si>
  <si>
    <t>B1-B5-B2-B3-B6-B4</t>
  </si>
  <si>
    <t>B1-B5-B2-B6-B3-B4</t>
  </si>
  <si>
    <t>B1-B5-B2-B6-B4-B3</t>
  </si>
  <si>
    <t>B1-B5-B6-B4-B2-B3</t>
  </si>
  <si>
    <t>B1-B5-B6-B4-B3-B2</t>
  </si>
  <si>
    <t>B1-B5-B6-B2-B4-B3</t>
  </si>
  <si>
    <t>B1-B5-B6-B2-B3-B4</t>
  </si>
  <si>
    <t>B1-B5-B6-B3-B2-B4</t>
  </si>
  <si>
    <t>B1-B5-B6-B3-B4-B2</t>
  </si>
  <si>
    <t>B1-B6-B3-B4-B5-B2</t>
  </si>
  <si>
    <t>B1-B6-B3-B4-B2-B5</t>
  </si>
  <si>
    <t>B1-B6-B3-B5-B4-B2</t>
  </si>
  <si>
    <t>B1-B6-B3-B5-B2-B4</t>
  </si>
  <si>
    <t>B1-B6-B3-B2-B5-B4</t>
  </si>
  <si>
    <t>B1-B6-B3-B2-B4-B5</t>
  </si>
  <si>
    <t>B1-B6-B4-B3-B5-B2</t>
  </si>
  <si>
    <t>B1-B6-B4-B3-B2-B5</t>
  </si>
  <si>
    <t>B1-B6-B4-B5-B3-B2</t>
  </si>
  <si>
    <t>B1-B6-B4-B5-B2-B3</t>
  </si>
  <si>
    <t>B1-B6-B4-B2-B5-B3</t>
  </si>
  <si>
    <t>B1-B6-B4-B2-B3-B5</t>
  </si>
  <si>
    <t>B1-B6-B5-B4-B3-B2</t>
  </si>
  <si>
    <t>B1-B6-B5-B4-B2-B3</t>
  </si>
  <si>
    <t>B1-B6-B5-B3-B4-B2</t>
  </si>
  <si>
    <t>B1-B6-B5-B3-B2-B4</t>
  </si>
  <si>
    <t>B1-B6-B5-B2-B3-B4</t>
  </si>
  <si>
    <t>B1-B6-B5-B2-B4-B3</t>
  </si>
  <si>
    <t>B1-B6-B2-B4-B5-B3</t>
  </si>
  <si>
    <t>B1-B6-B2-B4-B3-B5</t>
  </si>
  <si>
    <t>B1-B6-B2-B5-B4-B3</t>
  </si>
  <si>
    <t>B1-B6-B2-B5-B3-B4</t>
  </si>
  <si>
    <t>B1-B6-B2-B3-B5-B4</t>
  </si>
  <si>
    <t>B1-B6-B2-B3-B4-B5</t>
  </si>
  <si>
    <t>B2-B1-B3-B4-B5-B6</t>
  </si>
  <si>
    <t>B2-B1-B3-B4-B6-B5</t>
  </si>
  <si>
    <t>B2-B1-B3-B5-B4-B6</t>
  </si>
  <si>
    <t>B2-B1-B3-B5-B6-B4</t>
  </si>
  <si>
    <t>B2-B1-B3-B6-B5-B4</t>
  </si>
  <si>
    <t>B2-B1-B3-B6-B4-B5</t>
  </si>
  <si>
    <t>B2-B1-B4-B3-B5-B6</t>
  </si>
  <si>
    <t>B2-B1-B4-B3-B6-B5</t>
  </si>
  <si>
    <t>B2-B1-B4-B5-B3-B6</t>
  </si>
  <si>
    <t>B2-B1-B4-B5-B6-B3</t>
  </si>
  <si>
    <t>B2-B1-B4-B6-B5-B3</t>
  </si>
  <si>
    <t>B2-B1-B4-B6-B3-B5</t>
  </si>
  <si>
    <t>B2-B1-B5-B4-B3-B6</t>
  </si>
  <si>
    <t>B2-B1-B5-B4-B6-B3</t>
  </si>
  <si>
    <t>B2-B1-B5-B3-B4-B6</t>
  </si>
  <si>
    <t>B2-B1-B5-B3-B6-B4</t>
  </si>
  <si>
    <t>B2-B1-B5-B6-B3-B4</t>
  </si>
  <si>
    <t>B2-B1-B5-B6-B4-B3</t>
  </si>
  <si>
    <t>B2-B1-B6-B4-B5-B3</t>
  </si>
  <si>
    <t>B2-B1-B6-B4-B3-B5</t>
  </si>
  <si>
    <t>B2-B1-B6-B5-B4-B3</t>
  </si>
  <si>
    <t>B2-B1-B6-B5-B3-B4</t>
  </si>
  <si>
    <t>B2-B1-B6-B3-B5-B4</t>
  </si>
  <si>
    <t>B2-B1-B6-B3-B4-B5</t>
  </si>
  <si>
    <t>B2-B3-B1-B4-B5-B6</t>
  </si>
  <si>
    <t>B2-B3-B1-B4-B6-B5</t>
  </si>
  <si>
    <t>B2-B3-B1-B5-B4-B6</t>
  </si>
  <si>
    <t>B2-B3-B1-B5-B6-B4</t>
  </si>
  <si>
    <t>B2-B3-B1-B6-B5-B4</t>
  </si>
  <si>
    <t>B2-B3-B1-B6-B4-B5</t>
  </si>
  <si>
    <t>B2-B3-B4-B1-B5-B6</t>
  </si>
  <si>
    <t>B2-B3-B4-B1-B6-B5</t>
  </si>
  <si>
    <t>B2-B3-B4-B5-B1-B6</t>
  </si>
  <si>
    <t>B2-B3-B4-B5-B6-B1</t>
  </si>
  <si>
    <t>B2-B3-B4-B6-B5-B1</t>
  </si>
  <si>
    <t>B2-B3-B4-B6-B1-B5</t>
  </si>
  <si>
    <t>B2-B3-B5-B4-B1-B6</t>
  </si>
  <si>
    <t>B2-B3-B5-B4-B6-B1</t>
  </si>
  <si>
    <t>B2-B3-B5-B1-B4-B6</t>
  </si>
  <si>
    <t>B2-B3-B5-B1-B6-B4</t>
  </si>
  <si>
    <t>B2-B3-B5-B6-B1-B4</t>
  </si>
  <si>
    <t>B2-B3-B5-B6-B4-B1</t>
  </si>
  <si>
    <t>B2-B3-B6-B4-B5-B1</t>
  </si>
  <si>
    <t>B2-B3-B6-B4-B1-B5</t>
  </si>
  <si>
    <t>B2-B3-B6-B5-B4-B1</t>
  </si>
  <si>
    <t>B2-B3-B6-B5-B1-B4</t>
  </si>
  <si>
    <t>B2-B3-B6-B1-B5-B4</t>
  </si>
  <si>
    <t>B2-B3-B6-B1-B4-B5</t>
  </si>
  <si>
    <t>B2-B4-B3-B1-B5-B6</t>
  </si>
  <si>
    <t>B2-B4-B3-B1-B6-B5</t>
  </si>
  <si>
    <t>B2-B4-B3-B5-B1-B6</t>
  </si>
  <si>
    <t>B2-B4-B3-B5-B6-B1</t>
  </si>
  <si>
    <t>B2-B4-B3-B6-B5-B1</t>
  </si>
  <si>
    <t>B2-B4-B3-B6-B1-B5</t>
  </si>
  <si>
    <t>B2-B4-B1-B3-B5-B6</t>
  </si>
  <si>
    <t>B2-B4-B1-B3-B6-B5</t>
  </si>
  <si>
    <t>B2-B4-B1-B5-B3-B6</t>
  </si>
  <si>
    <t>B2-B4-B1-B5-B6-B3</t>
  </si>
  <si>
    <t>B2-B4-B1-B6-B5-B3</t>
  </si>
  <si>
    <t>B2-B4-B1-B6-B3-B5</t>
  </si>
  <si>
    <t>B2-B4-B5-B1-B3-B6</t>
  </si>
  <si>
    <t>B2-B4-B5-B1-B6-B3</t>
  </si>
  <si>
    <t>B2-B4-B5-B3-B1-B6</t>
  </si>
  <si>
    <t>B2-B4-B5-B3-B6-B1</t>
  </si>
  <si>
    <t>B2-B4-B5-B6-B3-B1</t>
  </si>
  <si>
    <t>B2-B4-B5-B6-B1-B3</t>
  </si>
  <si>
    <t>B2-B4-B6-B1-B5-B3</t>
  </si>
  <si>
    <t>B2-B4-B6-B1-B3-B5</t>
  </si>
  <si>
    <t>B2-B4-B6-B5-B1-B3</t>
  </si>
  <si>
    <t>B2-B4-B6-B5-B3-B1</t>
  </si>
  <si>
    <t>B2-B4-B6-B3-B5-B1</t>
  </si>
  <si>
    <t>B2-B4-B6-B3-B1-B5</t>
  </si>
  <si>
    <t>B2-B5-B3-B4-B1-B6</t>
  </si>
  <si>
    <t>B2-B5-B3-B4-B6-B1</t>
  </si>
  <si>
    <t>B2-B5-B3-B1-B4-B6</t>
  </si>
  <si>
    <t>B2-B5-B3-B1-B6-B4</t>
  </si>
  <si>
    <t>B2-B5-B3-B6-B1-B4</t>
  </si>
  <si>
    <t>B2-B5-B3-B6-B4-B1</t>
  </si>
  <si>
    <t>B2-B5-B4-B3-B1-B6</t>
  </si>
  <si>
    <t>B2-B5-B4-B3-B6-B1</t>
  </si>
  <si>
    <t>B2-B5-B4-B1-B3-B6</t>
  </si>
  <si>
    <t>B2-B5-B4-B1-B6-B3</t>
  </si>
  <si>
    <t>B2-B5-B4-B6-B1-B3</t>
  </si>
  <si>
    <t>B2-B5-B4-B6-B3-B1</t>
  </si>
  <si>
    <t>B2-B5-B1-B4-B3-B6</t>
  </si>
  <si>
    <t>B2-B5-B1-B4-B6-B3</t>
  </si>
  <si>
    <t>B2-B5-B1-B3-B4-B6</t>
  </si>
  <si>
    <t>B2-B5-B1-B3-B6-B4</t>
  </si>
  <si>
    <t>B2-B5-B1-B6-B3-B4</t>
  </si>
  <si>
    <t>B2-B5-B1-B6-B4-B3</t>
  </si>
  <si>
    <t>B2-B5-B6-B4-B1-B3</t>
  </si>
  <si>
    <t>B2-B5-B6-B4-B3-B1</t>
  </si>
  <si>
    <t>B2-B5-B6-B1-B4-B3</t>
  </si>
  <si>
    <t>B2-B5-B6-B1-B3-B4</t>
  </si>
  <si>
    <t>B2-B5-B6-B3-B1-B4</t>
  </si>
  <si>
    <t>B2-B5-B6-B3-B4-B1</t>
  </si>
  <si>
    <t>B2-B6-B3-B4-B5-B1</t>
  </si>
  <si>
    <t>B2-B6-B3-B4-B1-B5</t>
  </si>
  <si>
    <t>B2-B6-B3-B5-B4-B1</t>
  </si>
  <si>
    <t>B2-B6-B3-B5-B1-B4</t>
  </si>
  <si>
    <t>B2-B6-B3-B1-B5-B4</t>
  </si>
  <si>
    <t>B2-B6-B3-B1-B4-B5</t>
  </si>
  <si>
    <t>B2-B6-B4-B3-B5-B1</t>
  </si>
  <si>
    <t>B2-B6-B4-B3-B1-B5</t>
  </si>
  <si>
    <t>B2-B6-B4-B5-B3-B1</t>
  </si>
  <si>
    <t>B2-B6-B4-B5-B1-B3</t>
  </si>
  <si>
    <t>B2-B6-B4-B1-B5-B3</t>
  </si>
  <si>
    <t>B2-B6-B4-B1-B3-B5</t>
  </si>
  <si>
    <t>B2-B6-B5-B4-B3-B1</t>
  </si>
  <si>
    <t>B2-B6-B5-B4-B1-B3</t>
  </si>
  <si>
    <t>B2-B6-B5-B3-B4-B1</t>
  </si>
  <si>
    <t>B2-B6-B5-B3-B1-B4</t>
  </si>
  <si>
    <t>B2-B6-B5-B1-B3-B4</t>
  </si>
  <si>
    <t>B2-B6-B5-B1-B4-B3</t>
  </si>
  <si>
    <t>B2-B6-B1-B4-B5-B3</t>
  </si>
  <si>
    <t>B2-B6-B1-B4-B3-B5</t>
  </si>
  <si>
    <t>B2-B6-B1-B5-B4-B3</t>
  </si>
  <si>
    <t>B2-B6-B1-B5-B3-B4</t>
  </si>
  <si>
    <t>B2-B6-B1-B3-B5-B4</t>
  </si>
  <si>
    <t>BW105</t>
  </si>
  <si>
    <t>B2-B6-B1-B3-B4-B5</t>
  </si>
  <si>
    <t>B3-B2-B1-B4-B5-B6</t>
  </si>
  <si>
    <t>B3-B2-B1-B4-B6-B5</t>
  </si>
  <si>
    <t>B3-B2-B1-B5-B4-B6</t>
  </si>
  <si>
    <t>B3-B2-B1-B5-B6-B4</t>
  </si>
  <si>
    <t>B3-B2-B1-B6-B5-B4</t>
  </si>
  <si>
    <t>B3-B2-B1-B6-B4-B5</t>
  </si>
  <si>
    <t>B3-B2-B4-B1-B5-B6</t>
  </si>
  <si>
    <t>B3-B2-B4-B1-B6-B5</t>
  </si>
  <si>
    <t>B3-B2-B4-B5-B1-B6</t>
  </si>
  <si>
    <t>B3-B2-B4-B5-B6-B1</t>
  </si>
  <si>
    <t>B3-B2-B4-B6-B5-B1</t>
  </si>
  <si>
    <t>B3-B2-B4-B6-B1-B5</t>
  </si>
  <si>
    <t>B3-B2-B5-B4-B1-B6</t>
  </si>
  <si>
    <t>B3-B2-B5-B4-B6-B1</t>
  </si>
  <si>
    <t>B3-B2-B5-B1-B4-B6</t>
  </si>
  <si>
    <t>B3-B2-B5-B1-B6-B4</t>
  </si>
  <si>
    <t>B3-B2-B5-B6-B1-B4</t>
  </si>
  <si>
    <t>B3-B2-B5-B6-B4-B1</t>
  </si>
  <si>
    <t>B3-B2-B6-B4-B5-B1</t>
  </si>
  <si>
    <t>B3-B2-B6-B4-B1-B5</t>
  </si>
  <si>
    <t>B3-B2-B6-B5-B4-B1</t>
  </si>
  <si>
    <t>B3-B2-B6-B5-B1-B4</t>
  </si>
  <si>
    <t>B3-B2-B6-B1-B5-B4</t>
  </si>
  <si>
    <t>B3-B2-B6-B1-B4-B5</t>
  </si>
  <si>
    <t>B3-B1-B2-B4-B5-B6</t>
  </si>
  <si>
    <t>B3-B1-B2-B4-B6-B5</t>
  </si>
  <si>
    <t>B3-B1-B2-B5-B4-B6</t>
  </si>
  <si>
    <t>B3-B1-B2-B5-B6-B4</t>
  </si>
  <si>
    <t>B3-B1-B2-B6-B5-B4</t>
  </si>
  <si>
    <t>B3-B1-B2-B6-B4-B5</t>
  </si>
  <si>
    <t>B3-B1-B4-B2-B5-B6</t>
  </si>
  <si>
    <t>B3-B1-B4-B2-B6-B5</t>
  </si>
  <si>
    <t>B3-B1-B4-B5-B2-B6</t>
  </si>
  <si>
    <t>B3-B1-B4-B5-B6-B2</t>
  </si>
  <si>
    <t>B3-B1-B4-B6-B5-B2</t>
  </si>
  <si>
    <t>B3-B1-B4-B6-B2-B5</t>
  </si>
  <si>
    <t>B3-B1-B5-B4-B2-B6</t>
  </si>
  <si>
    <t>B3-B1-B5-B4-B6-B2</t>
  </si>
  <si>
    <t>B3-B1-B5-B2-B4-B6</t>
  </si>
  <si>
    <t>B3-B1-B5-B2-B6-B4</t>
  </si>
  <si>
    <t>B3-B1-B5-B6-B2-B4</t>
  </si>
  <si>
    <t>B3-B1-B5-B6-B4-B2</t>
  </si>
  <si>
    <t>B3-B1-B6-B4-B5-B2</t>
  </si>
  <si>
    <t>B3-B1-B6-B4-B2-B5</t>
  </si>
  <si>
    <t>B3-B1-B6-B5-B4-B2</t>
  </si>
  <si>
    <t>B3-B1-B6-B5-B2-B4</t>
  </si>
  <si>
    <t>B3-B1-B6-B2-B5-B4</t>
  </si>
  <si>
    <t>B3-B1-B6-B2-B4-B5</t>
  </si>
  <si>
    <t>B3-B4-B1-B2-B5-B6</t>
  </si>
  <si>
    <t>B3-B4-B1-B2-B6-B5</t>
  </si>
  <si>
    <t>B3-B4-B1-B5-B2-B6</t>
  </si>
  <si>
    <t>B3-B4-B1-B5-B6-B2</t>
  </si>
  <si>
    <t>B3-B4-B1-B6-B5-B2</t>
  </si>
  <si>
    <t>B3-B4-B1-B6-B2-B5</t>
  </si>
  <si>
    <t>B3-B4-B2-B1-B5-B6</t>
  </si>
  <si>
    <t>B3-B4-B2-B1-B6-B5</t>
  </si>
  <si>
    <t>B3-B4-B2-B5-B1-B6</t>
  </si>
  <si>
    <t>B3-B4-B2-B5-B6-B1</t>
  </si>
  <si>
    <t>B3-B4-B2-B6-B5-B1</t>
  </si>
  <si>
    <t>B3-B4-B2-B6-B1-B5</t>
  </si>
  <si>
    <t>B3-B4-B5-B2-B1-B6</t>
  </si>
  <si>
    <t>B3-B4-B5-B2-B6-B1</t>
  </si>
  <si>
    <t>B3-B4-B5-B1-B2-B6</t>
  </si>
  <si>
    <t>B3-B4-B5-B1-B6-B2</t>
  </si>
  <si>
    <t>B3-B4-B5-B6-B1-B2</t>
  </si>
  <si>
    <t>B3-B4-B5-B6-B2-B1</t>
  </si>
  <si>
    <t>B3-B4-B6-B2-B5-B1</t>
  </si>
  <si>
    <t>B3-B4-B6-B2-B1-B5</t>
  </si>
  <si>
    <t>B3-B4-B6-B5-B2-B1</t>
  </si>
  <si>
    <t>B3-B4-B6-B5-B1-B2</t>
  </si>
  <si>
    <t>B3-B4-B6-B1-B5-B2</t>
  </si>
  <si>
    <t>B3-B4-B6-B1-B2-B5</t>
  </si>
  <si>
    <t>B3-B5-B1-B4-B2-B6</t>
  </si>
  <si>
    <t>B3-B5-B1-B4-B6-B2</t>
  </si>
  <si>
    <t>B3-B5-B1-B2-B4-B6</t>
  </si>
  <si>
    <t>B3-B5-B1-B2-B6-B4</t>
  </si>
  <si>
    <t>B3-B5-B1-B6-B2-B4</t>
  </si>
  <si>
    <t>B3-B5-B1-B6-B4-B2</t>
  </si>
  <si>
    <t>B3-B5-B4-B1-B2-B6</t>
  </si>
  <si>
    <t>B3-B5-B4-B1-B6-B2</t>
  </si>
  <si>
    <t>B3-B5-B4-B2-B1-B6</t>
  </si>
  <si>
    <t>B3-B5-B4-B2-B6-B1</t>
  </si>
  <si>
    <t>B3-B5-B4-B6-B2-B1</t>
  </si>
  <si>
    <t>B3-B5-B4-B6-B1-B2</t>
  </si>
  <si>
    <t>B3-B5-B2-B4-B1-B6</t>
  </si>
  <si>
    <t>B3-B5-B2-B4-B6-B1</t>
  </si>
  <si>
    <t>B3-B5-B2-B1-B4-B6</t>
  </si>
  <si>
    <t>B3-B5-B2-B1-B6-B4</t>
  </si>
  <si>
    <t>B3-B5-B2-B6-B1-B4</t>
  </si>
  <si>
    <t>B3-B5-B2-B6-B4-B1</t>
  </si>
  <si>
    <t>B3-B5-B6-B4-B2-B1</t>
  </si>
  <si>
    <t>B3-B5-B6-B4-B1-B2</t>
  </si>
  <si>
    <t>B3-B5-B6-B2-B4-B1</t>
  </si>
  <si>
    <t>B3-B5-B6-B2-B1-B4</t>
  </si>
  <si>
    <t>B3-B5-B6-B1-B2-B4</t>
  </si>
  <si>
    <t>B3-B5-B6-B1-B4-B2</t>
  </si>
  <si>
    <t>B3-B6-B1-B4-B5-B2</t>
  </si>
  <si>
    <t>B3-B6-B1-B4-B2-B5</t>
  </si>
  <si>
    <t>B3-B6-B1-B5-B4-B2</t>
  </si>
  <si>
    <t>B3-B6-B1-B5-B2-B4</t>
  </si>
  <si>
    <t>B3-B6-B1-B2-B5-B4</t>
  </si>
  <si>
    <t>B3-B6-B1-B2-B4-B5</t>
  </si>
  <si>
    <t>B3-B6-B4-B1-B5-B2</t>
  </si>
  <si>
    <t>B3-B6-B4-B1-B2-B5</t>
  </si>
  <si>
    <t>B3-B6-B4-B5-B1-B2</t>
  </si>
  <si>
    <t>B3-B6-B4-B5-B2-B1</t>
  </si>
  <si>
    <t>B3-B6-B4-B2-B5-B1</t>
  </si>
  <si>
    <t>B3-B6-B4-B2-B1-B5</t>
  </si>
  <si>
    <t>B3-B6-B5-B4-B1-B2</t>
  </si>
  <si>
    <t>B3-B6-B5-B4-B2-B1</t>
  </si>
  <si>
    <t>B3-B6-B5-B1-B4-B2</t>
  </si>
  <si>
    <t>B3-B6-B5-B1-B2-B4</t>
  </si>
  <si>
    <t>B3-B6-B5-B2-B1-B4</t>
  </si>
  <si>
    <t>B3-B6-B5-B2-B4-B1</t>
  </si>
  <si>
    <t>B3-B6-B2-B4-B5-B1</t>
  </si>
  <si>
    <t>B3-B6-B2-B4-B1-B5</t>
  </si>
  <si>
    <t>B3-B6-B2-B5-B4-B1</t>
  </si>
  <si>
    <t>B3-B6-B2-B5-B1-B4</t>
  </si>
  <si>
    <t>B3-B6-B2-B1-B5-B4</t>
  </si>
  <si>
    <t>B3-B6-B2-B1-B4-B5</t>
  </si>
  <si>
    <t>B4-B2-B3-B1-B5-B6</t>
  </si>
  <si>
    <t>B4-B2-B3-B1-B6-B5</t>
  </si>
  <si>
    <t>B4-B2-B3-B5-B1-B6</t>
  </si>
  <si>
    <t>B4-B2-B3-B5-B6-B1</t>
  </si>
  <si>
    <t>B4-B2-B3-B6-B5-B1</t>
  </si>
  <si>
    <t>B4-B2-B3-B6-B1-B5</t>
  </si>
  <si>
    <t>B4-B2-B1-B3-B5-B6</t>
  </si>
  <si>
    <t>B4-B2-B1-B3-B6-B5</t>
  </si>
  <si>
    <t>B4-B2-B1-B5-B3-B6</t>
  </si>
  <si>
    <t>B4-B2-B1-B5-B6-B3</t>
  </si>
  <si>
    <t>B4-B2-B1-B6-B5-B3</t>
  </si>
  <si>
    <t>B4-B2-B1-B6-B3-B5</t>
  </si>
  <si>
    <t>B4-B2-B5-B1-B3-B6</t>
  </si>
  <si>
    <t>B4-B2-B5-B1-B6-B3</t>
  </si>
  <si>
    <t>B4-B2-B5-B3-B1-B6</t>
  </si>
  <si>
    <t>B4-B2-B5-B3-B6-B1</t>
  </si>
  <si>
    <t>B4-B2-B5-B6-B3-B1</t>
  </si>
  <si>
    <t>B4-B2-B5-B6-B1-B3</t>
  </si>
  <si>
    <t>B4-B2-B6-B1-B5-B3</t>
  </si>
  <si>
    <t>B4-B2-B6-B1-B3-B5</t>
  </si>
  <si>
    <t>B4-B2-B6-B5-B1-B3</t>
  </si>
  <si>
    <t>B4-B2-B6-B5-B3-B1</t>
  </si>
  <si>
    <t>B4-B2-B6-B3-B5-B1</t>
  </si>
  <si>
    <t>B4-B2-B6-B3-B1-B5</t>
  </si>
  <si>
    <t>B4-B3-B2-B1-B5-B6</t>
  </si>
  <si>
    <t>B4-B3-B2-B1-B6-B5</t>
  </si>
  <si>
    <t>B4-B3-B2-B5-B1-B6</t>
  </si>
  <si>
    <t>B4-B3-B2-B5-B6-B1</t>
  </si>
  <si>
    <t>B4-B3-B2-B6-B5-B1</t>
  </si>
  <si>
    <t>BW93</t>
  </si>
  <si>
    <t>B4-B3-B2-B6-B1-B5</t>
  </si>
  <si>
    <t>B4-B3-B1-B2-B5-B6</t>
  </si>
  <si>
    <t>B4-B3-B1-B2-B6-B5</t>
  </si>
  <si>
    <t>B4-B3-B1-B5-B2-B6</t>
  </si>
  <si>
    <t>B4-B3-B1-B5-B6-B2</t>
  </si>
  <si>
    <t>B4-B3-B1-B6-B5-B2</t>
  </si>
  <si>
    <t>B4-B3-B1-B6-B2-B5</t>
  </si>
  <si>
    <t>B4-B3-B5-B1-B2-B6</t>
  </si>
  <si>
    <t>B4-B3-B5-B1-B6-B2</t>
  </si>
  <si>
    <t>B4-B3-B5-B2-B1-B6</t>
  </si>
  <si>
    <t>B4-B3-B5-B2-B6-B1</t>
  </si>
  <si>
    <t>B4-B3-B5-B6-B2-B1</t>
  </si>
  <si>
    <t>B4-B3-B5-B6-B1-B2</t>
  </si>
  <si>
    <t>B4-B3-B6-B1-B5-B2</t>
  </si>
  <si>
    <t>B4-B3-B6-B1-B2-B5</t>
  </si>
  <si>
    <t>B4-B3-B6-B5-B1-B2</t>
  </si>
  <si>
    <t>B4-B3-B6-B5-B2-B1</t>
  </si>
  <si>
    <t>B4-B3-B6-B2-B5-B1</t>
  </si>
  <si>
    <t>B4-B3-B6-B2-B1-B5</t>
  </si>
  <si>
    <t>B4-B1-B3-B2-B5-B6</t>
  </si>
  <si>
    <t>B4-B1-B3-B2-B6-B5</t>
  </si>
  <si>
    <t>B4-B1-B3-B5-B2-B6</t>
  </si>
  <si>
    <t>B4-B1-B3-B5-B6-B2</t>
  </si>
  <si>
    <t>B4-B1-B3-B6-B5-B2</t>
  </si>
  <si>
    <t>B4-B1-B3-B6-B2-B5</t>
  </si>
  <si>
    <t>B4-B1-B2-B3-B5-B6</t>
  </si>
  <si>
    <t>B4-B1-B2-B3-B6-B5</t>
  </si>
  <si>
    <t>B4-B1-B2-B5-B3-B6</t>
  </si>
  <si>
    <t>B4-B1-B2-B5-B6-B3</t>
  </si>
  <si>
    <t>B4-B1-B2-B6-B5-B3</t>
  </si>
  <si>
    <t>B4-B1-B2-B6-B3-B5</t>
  </si>
  <si>
    <t>B4-B1-B5-B2-B3-B6</t>
  </si>
  <si>
    <t>B4-B1-B5-B2-B6-B3</t>
  </si>
  <si>
    <t>B4-B1-B5-B3-B2-B6</t>
  </si>
  <si>
    <t>B4-B1-B5-B3-B6-B2</t>
  </si>
  <si>
    <t>B4-B1-B5-B6-B3-B2</t>
  </si>
  <si>
    <t>B4-B1-B5-B6-B2-B3</t>
  </si>
  <si>
    <t>B4-B1-B6-B2-B5-B3</t>
  </si>
  <si>
    <t>B4-B1-B6-B2-B3-B5</t>
  </si>
  <si>
    <t>B4-B1-B6-B5-B2-B3</t>
  </si>
  <si>
    <t>B4-B1-B6-B5-B3-B2</t>
  </si>
  <si>
    <t>B4-B1-B6-B3-B5-B2</t>
  </si>
  <si>
    <t>B4-B1-B6-B3-B2-B5</t>
  </si>
  <si>
    <t>B4-B5-B3-B1-B2-B6</t>
  </si>
  <si>
    <t>B4-B5-B3-B1-B6-B2</t>
  </si>
  <si>
    <t>B4-B5-B3-B2-B1-B6</t>
  </si>
  <si>
    <t>B4-B5-B3-B2-B6-B1</t>
  </si>
  <si>
    <t>B4-B5-B3-B6-B2-B1</t>
  </si>
  <si>
    <t>B4-B5-B3-B6-B1-B2</t>
  </si>
  <si>
    <t>B4-B5-B1-B3-B2-B6</t>
  </si>
  <si>
    <t>B4-B5-B1-B3-B6-B2</t>
  </si>
  <si>
    <t>B4-B5-B1-B2-B3-B6</t>
  </si>
  <si>
    <t>B4-B5-B1-B2-B6-B3</t>
  </si>
  <si>
    <t>B4-B5-B1-B6-B2-B3</t>
  </si>
  <si>
    <t>B4-B5-B1-B6-B3-B2</t>
  </si>
  <si>
    <t>B4-B5-B2-B1-B3-B6</t>
  </si>
  <si>
    <t>B4-B5-B2-B1-B6-B3</t>
  </si>
  <si>
    <t>B4-B5-B2-B3-B1-B6</t>
  </si>
  <si>
    <t>B4-B5-B2-B3-B6-B1</t>
  </si>
  <si>
    <t>B4-B5-B2-B6-B3-B1</t>
  </si>
  <si>
    <t>B4-B5-B2-B6-B1-B3</t>
  </si>
  <si>
    <t>B4-B5-B6-B1-B2-B3</t>
  </si>
  <si>
    <t>B4-B5-B6-B1-B3-B2</t>
  </si>
  <si>
    <t>BW117</t>
  </si>
  <si>
    <t>B4-B5-B6-B2-B1-B3</t>
  </si>
  <si>
    <t>B4-B5-B6-B2-B3-B1</t>
  </si>
  <si>
    <t>B4-B5-B6-B3-B2-B1</t>
  </si>
  <si>
    <t>B4-B5-B6-B3-B1-B2</t>
  </si>
  <si>
    <t>B4-B6-B3-B1-B5-B2</t>
  </si>
  <si>
    <t>B4-B6-B3-B1-B2-B5</t>
  </si>
  <si>
    <t>B4-B6-B3-B5-B1-B2</t>
  </si>
  <si>
    <t>B4-B6-B3-B5-B2-B1</t>
  </si>
  <si>
    <t>B4-B6-B3-B2-B5-B1</t>
  </si>
  <si>
    <t>B4-B6-B3-B2-B1-B5</t>
  </si>
  <si>
    <t>B4-B6-B1-B3-B5-B2</t>
  </si>
  <si>
    <t>B4-B6-B1-B3-B2-B5</t>
  </si>
  <si>
    <t>B4-B6-B1-B5-B3-B2</t>
  </si>
  <si>
    <t>B4-B6-B1-B5-B2-B3</t>
  </si>
  <si>
    <t>B4-B6-B1-B2-B5-B3</t>
  </si>
  <si>
    <t>B4-B6-B1-B2-B3-B5</t>
  </si>
  <si>
    <t>B4-B6-B5-B1-B3-B2</t>
  </si>
  <si>
    <t>B4-B6-B5-B1-B2-B3</t>
  </si>
  <si>
    <t>B4-B6-B5-B3-B1-B2</t>
  </si>
  <si>
    <t>B4-B6-B5-B3-B2-B1</t>
  </si>
  <si>
    <t>B4-B6-B5-B2-B3-B1</t>
  </si>
  <si>
    <t>B4-B6-B5-B2-B1-B3</t>
  </si>
  <si>
    <t>B4-B6-B2-B1-B5-B3</t>
  </si>
  <si>
    <t>B4-B6-B2-B1-B3-B5</t>
  </si>
  <si>
    <t>B4-B6-B2-B5-B1-B3</t>
  </si>
  <si>
    <t>B4-B6-B2-B5-B3-B1</t>
  </si>
  <si>
    <t>B4-B6-B2-B3-B5-B1</t>
  </si>
  <si>
    <t>B4-B6-B2-B3-B1-B5</t>
  </si>
  <si>
    <t>B5-B2-B3-B4-B1-B6</t>
  </si>
  <si>
    <t>B5-B2-B3-B4-B6-B1</t>
  </si>
  <si>
    <t>B5-B2-B3-B1-B4-B6</t>
  </si>
  <si>
    <t>B5-B2-B3-B1-B6-B4</t>
  </si>
  <si>
    <t>B5-B2-B3-B6-B1-B4</t>
  </si>
  <si>
    <t>B5-B2-B3-B6-B4-B1</t>
  </si>
  <si>
    <t>B5-B2-B4-B3-B1-B6</t>
  </si>
  <si>
    <t>B5-B2-B4-B3-B6-B1</t>
  </si>
  <si>
    <t>B5-B2-B4-B1-B3-B6</t>
  </si>
  <si>
    <t>B5-B2-B4-B1-B6-B3</t>
  </si>
  <si>
    <t>B5-B2-B4-B6-B1-B3</t>
  </si>
  <si>
    <t>B5-B2-B4-B6-B3-B1</t>
  </si>
  <si>
    <t>B5-B2-B1-B4-B3-B6</t>
  </si>
  <si>
    <t>B5-B2-B1-B4-B6-B3</t>
  </si>
  <si>
    <t>B5-B2-B1-B3-B4-B6</t>
  </si>
  <si>
    <t>B5-B2-B1-B3-B6-B4</t>
  </si>
  <si>
    <t>B5-B2-B1-B6-B3-B4</t>
  </si>
  <si>
    <t>B5-B2-B1-B6-B4-B3</t>
  </si>
  <si>
    <t>B5-B2-B6-B4-B1-B3</t>
  </si>
  <si>
    <t>B5-B2-B6-B4-B3-B1</t>
  </si>
  <si>
    <t>B5-B2-B6-B1-B4-B3</t>
  </si>
  <si>
    <t>B5-B2-B6-B1-B3-B4</t>
  </si>
  <si>
    <t>B5-B2-B6-B3-B1-B4</t>
  </si>
  <si>
    <t>B5-B2-B6-B3-B4-B1</t>
  </si>
  <si>
    <t>B5-B3-B2-B4-B1-B6</t>
  </si>
  <si>
    <t>B5-B3-B2-B4-B6-B1</t>
  </si>
  <si>
    <t>B5-B3-B2-B1-B4-B6</t>
  </si>
  <si>
    <t>B5-B3-B2-B1-B6-B4</t>
  </si>
  <si>
    <t>B5-B3-B2-B6-B1-B4</t>
  </si>
  <si>
    <t>B5-B3-B2-B6-B4-B1</t>
  </si>
  <si>
    <t>B5-B3-B4-B2-B1-B6</t>
  </si>
  <si>
    <t>B5-B3-B4-B2-B6-B1</t>
  </si>
  <si>
    <t>B5-B3-B4-B1-B2-B6</t>
  </si>
  <si>
    <t>B5-B3-B4-B1-B6-B2</t>
  </si>
  <si>
    <t>B5-B3-B4-B6-B1-B2</t>
  </si>
  <si>
    <t>B5-B3-B4-B6-B2-B1</t>
  </si>
  <si>
    <t>B5-B3-B1-B4-B2-B6</t>
  </si>
  <si>
    <t>B5-B3-B1-B4-B6-B2</t>
  </si>
  <si>
    <t>B5-B3-B1-B2-B4-B6</t>
  </si>
  <si>
    <t>B5-B3-B1-B2-B6-B4</t>
  </si>
  <si>
    <t>B5-B3-B1-B6-B2-B4</t>
  </si>
  <si>
    <t>B5-B3-B1-B6-B4-B2</t>
  </si>
  <si>
    <t>B5-B3-B6-B4-B1-B2</t>
  </si>
  <si>
    <t>B5-B3-B6-B4-B2-B1</t>
  </si>
  <si>
    <t>B5-B3-B6-B1-B4-B2</t>
  </si>
  <si>
    <t>B5-B3-B6-B1-B2-B4</t>
  </si>
  <si>
    <t>B5-B3-B6-B2-B1-B4</t>
  </si>
  <si>
    <t>B5-B3-B6-B2-B4-B1</t>
  </si>
  <si>
    <t>B5-B4-B3-B2-B1-B6</t>
  </si>
  <si>
    <t>B5-B4-B3-B2-B6-B1</t>
  </si>
  <si>
    <t>B5-B4-B3-B1-B2-B6</t>
  </si>
  <si>
    <t>B5-B4-B3-B1-B6-B2</t>
  </si>
  <si>
    <t>B5-B4-B3-B6-B1-B2</t>
  </si>
  <si>
    <t>B5-B4-B3-B6-B2-B1</t>
  </si>
  <si>
    <t>B5-B4-B2-B3-B1-B6</t>
  </si>
  <si>
    <t>B5-B4-B2-B3-B6-B1</t>
  </si>
  <si>
    <t>B5-B4-B2-B1-B3-B6</t>
  </si>
  <si>
    <t>B5-B4-B2-B1-B6-B3</t>
  </si>
  <si>
    <t>B5-B4-B2-B6-B1-B3</t>
  </si>
  <si>
    <t>B5-B4-B2-B6-B3-B1</t>
  </si>
  <si>
    <t>B5-B4-B1-B2-B3-B6</t>
  </si>
  <si>
    <t>B5-B4-B1-B2-B6-B3</t>
  </si>
  <si>
    <t>B5-B4-B1-B3-B2-B6</t>
  </si>
  <si>
    <t>B5-B4-B1-B3-B6-B2</t>
  </si>
  <si>
    <t>B5-B4-B1-B6-B3-B2</t>
  </si>
  <si>
    <t>B5-B4-B1-B6-B2-B3</t>
  </si>
  <si>
    <t>B5-B4-B6-B2-B1-B3</t>
  </si>
  <si>
    <t>B5-B4-B6-B2-B3-B1</t>
  </si>
  <si>
    <t>B5-B4-B6-B1-B2-B3</t>
  </si>
  <si>
    <t>B5-B4-B6-B1-B3-B2</t>
  </si>
  <si>
    <t>B5-B4-B6-B3-B1-B2</t>
  </si>
  <si>
    <t>B5-B4-B6-B3-B2-B1</t>
  </si>
  <si>
    <t>B5-B1-B3-B4-B2-B6</t>
  </si>
  <si>
    <t>B5-B1-B3-B4-B6-B2</t>
  </si>
  <si>
    <t>B5-B1-B3-B2-B4-B6</t>
  </si>
  <si>
    <t>B5-B1-B3-B2-B6-B4</t>
  </si>
  <si>
    <t>B5-B1-B3-B6-B2-B4</t>
  </si>
  <si>
    <t>B5-B1-B3-B6-B4-B2</t>
  </si>
  <si>
    <t>B5-B1-B4-B3-B2-B6</t>
  </si>
  <si>
    <t>B5-B1-B4-B3-B6-B2</t>
  </si>
  <si>
    <t>B5-B1-B4-B2-B3-B6</t>
  </si>
  <si>
    <t>B5-B1-B4-B2-B6-B3</t>
  </si>
  <si>
    <t>B5-B1-B4-B6-B2-B3</t>
  </si>
  <si>
    <t>B5-B1-B4-B6-B3-B2</t>
  </si>
  <si>
    <t>B5-B1-B2-B4-B3-B6</t>
  </si>
  <si>
    <t>B5-B1-B2-B4-B6-B3</t>
  </si>
  <si>
    <t>B5-B1-B2-B3-B4-B6</t>
  </si>
  <si>
    <t>B5-B1-B2-B3-B6-B4</t>
  </si>
  <si>
    <t>B5-B1-B2-B6-B3-B4</t>
  </si>
  <si>
    <t>B5-B1-B2-B6-B4-B3</t>
  </si>
  <si>
    <t>B5-B1-B6-B4-B2-B3</t>
  </si>
  <si>
    <t>B5-B1-B6-B4-B3-B2</t>
  </si>
  <si>
    <t>B5-B1-B6-B2-B4-B3</t>
  </si>
  <si>
    <t>B5-B1-B6-B2-B3-B4</t>
  </si>
  <si>
    <t>B5-B1-B6-B3-B2-B4</t>
  </si>
  <si>
    <t>B5-B1-B6-B3-B4-B2</t>
  </si>
  <si>
    <t>B5-B6-B3-B4-B1-B2</t>
  </si>
  <si>
    <t>B5-B6-B3-B4-B2-B1</t>
  </si>
  <si>
    <t>B5-B6-B3-B1-B4-B2</t>
  </si>
  <si>
    <t>B5-B6-B3-B1-B2-B4</t>
  </si>
  <si>
    <t>B5-B6-B3-B2-B1-B4</t>
  </si>
  <si>
    <t>B5-B6-B3-B2-B4-B1</t>
  </si>
  <si>
    <t>B5-B6-B4-B3-B1-B2</t>
  </si>
  <si>
    <t>B5-B6-B4-B3-B2-B1</t>
  </si>
  <si>
    <t>B5-B6-B4-B1-B3-B2</t>
  </si>
  <si>
    <t>B5-B6-B4-B1-B2-B3</t>
  </si>
  <si>
    <t>B5-B6-B4-B2-B1-B3</t>
  </si>
  <si>
    <t>B5-B6-B4-B2-B3-B1</t>
  </si>
  <si>
    <t>B5-B6-B1-B4-B3-B2</t>
  </si>
  <si>
    <t>B5-B6-B1-B4-B2-B3</t>
  </si>
  <si>
    <t>B5-B6-B1-B3-B4-B2</t>
  </si>
  <si>
    <t>B5-B6-B1-B3-B2-B4</t>
  </si>
  <si>
    <t>B5-B6-B1-B2-B3-B4</t>
  </si>
  <si>
    <t>B5-B6-B1-B2-B4-B3</t>
  </si>
  <si>
    <t>B5-B6-B2-B4-B1-B3</t>
  </si>
  <si>
    <t>B5-B6-B2-B4-B3-B1</t>
  </si>
  <si>
    <t>B5-B6-B2-B1-B4-B3</t>
  </si>
  <si>
    <t>B5-B6-B2-B1-B3-B4</t>
  </si>
  <si>
    <t>B5-B6-B2-B3-B1-B4</t>
  </si>
  <si>
    <t>B5-B6-B2-B3-B4-B1</t>
  </si>
  <si>
    <t>B6-B2-B3-B4-B5-B1</t>
  </si>
  <si>
    <t>B6-B2-B3-B4-B1-B5</t>
  </si>
  <si>
    <t>B6-B2-B3-B5-B4-B1</t>
  </si>
  <si>
    <t>B6-B2-B3-B5-B1-B4</t>
  </si>
  <si>
    <t>B6-B2-B3-B1-B5-B4</t>
  </si>
  <si>
    <t>B6-B2-B3-B1-B4-B5</t>
  </si>
  <si>
    <t>B6-B2-B4-B3-B5-B1</t>
  </si>
  <si>
    <t>B6-B2-B4-B3-B1-B5</t>
  </si>
  <si>
    <t>B6-B2-B4-B5-B3-B1</t>
  </si>
  <si>
    <t>B6-B2-B4-B5-B1-B3</t>
  </si>
  <si>
    <t>B6-B2-B4-B1-B5-B3</t>
  </si>
  <si>
    <t>B6-B2-B4-B1-B3-B5</t>
  </si>
  <si>
    <t>B6-B2-B5-B4-B3-B1</t>
  </si>
  <si>
    <t>B6-B2-B5-B4-B1-B3</t>
  </si>
  <si>
    <t>B6-B2-B5-B3-B4-B1</t>
  </si>
  <si>
    <t>B6-B2-B5-B3-B1-B4</t>
  </si>
  <si>
    <t>B6-B2-B5-B1-B3-B4</t>
  </si>
  <si>
    <t>B6-B2-B5-B1-B4-B3</t>
  </si>
  <si>
    <t>B6-B2-B1-B4-B5-B3</t>
  </si>
  <si>
    <t>B6-B2-B1-B4-B3-B5</t>
  </si>
  <si>
    <t>B6-B2-B1-B5-B4-B3</t>
  </si>
  <si>
    <t>B6-B2-B1-B5-B3-B4</t>
  </si>
  <si>
    <t>B6-B2-B1-B3-B5-B4</t>
  </si>
  <si>
    <t>B6-B2-B1-B3-B4-B5</t>
  </si>
  <si>
    <t>B6-B3-B2-B4-B5-B1</t>
  </si>
  <si>
    <t>B6-B3-B2-B4-B1-B5</t>
  </si>
  <si>
    <t>B6-B3-B2-B5-B4-B1</t>
  </si>
  <si>
    <t>B6-B3-B2-B5-B1-B4</t>
  </si>
  <si>
    <t>B6-B3-B2-B1-B5-B4</t>
  </si>
  <si>
    <t>B6-B3-B2-B1-B4-B5</t>
  </si>
  <si>
    <t>B6-B3-B4-B2-B5-B1</t>
  </si>
  <si>
    <t>B6-B3-B4-B2-B1-B5</t>
  </si>
  <si>
    <t>B6-B3-B4-B5-B2-B1</t>
  </si>
  <si>
    <t>B6-B3-B4-B5-B1-B2</t>
  </si>
  <si>
    <t>B6-B3-B4-B1-B5-B2</t>
  </si>
  <si>
    <t>B6-B3-B4-B1-B2-B5</t>
  </si>
  <si>
    <t>B6-B3-B5-B4-B2-B1</t>
  </si>
  <si>
    <t>B6-B3-B5-B4-B1-B2</t>
  </si>
  <si>
    <t>B6-B3-B5-B2-B4-B1</t>
  </si>
  <si>
    <t>B6-B3-B5-B2-B1-B4</t>
  </si>
  <si>
    <t>B6-B3-B5-B1-B2-B4</t>
  </si>
  <si>
    <t>B6-B3-B5-B1-B4-B2</t>
  </si>
  <si>
    <t>B6-B3-B1-B4-B5-B2</t>
  </si>
  <si>
    <t>B6-B3-B1-B4-B2-B5</t>
  </si>
  <si>
    <t>B6-B3-B1-B5-B4-B2</t>
  </si>
  <si>
    <t>B6-B3-B1-B5-B2-B4</t>
  </si>
  <si>
    <t>B6-B3-B1-B2-B5-B4</t>
  </si>
  <si>
    <t>B6-B3-B1-B2-B4-B5</t>
  </si>
  <si>
    <t>B6-B4-B3-B2-B5-B1</t>
  </si>
  <si>
    <t>B6-B4-B3-B2-B1-B5</t>
  </si>
  <si>
    <t>B6-B4-B3-B5-B2-B1</t>
  </si>
  <si>
    <t>B6-B4-B3-B5-B1-B2</t>
  </si>
  <si>
    <t>B6-B4-B3-B1-B5-B2</t>
  </si>
  <si>
    <t>B6-B4-B3-B1-B2-B5</t>
  </si>
  <si>
    <t>B6-B4-B2-B3-B5-B1</t>
  </si>
  <si>
    <t>B6-B4-B2-B3-B1-B5</t>
  </si>
  <si>
    <t>B6-B4-B2-B5-B3-B1</t>
  </si>
  <si>
    <t>B6-B4-B2-B5-B1-B3</t>
  </si>
  <si>
    <t>B6-B4-B2-B1-B5-B3</t>
  </si>
  <si>
    <t>B6-B4-B2-B1-B3-B5</t>
  </si>
  <si>
    <t>B6-B4-B5-B2-B3-B1</t>
  </si>
  <si>
    <t>B6-B4-B5-B2-B1-B3</t>
  </si>
  <si>
    <t>B6-B4-B5-B3-B2-B1</t>
  </si>
  <si>
    <t>B6-B4-B5-B3-B1-B2</t>
  </si>
  <si>
    <t>B6-B4-B5-B1-B3-B2</t>
  </si>
  <si>
    <t>B6-B4-B5-B1-B2-B3</t>
  </si>
  <si>
    <t>B6-B4-B1-B2-B5-B3</t>
  </si>
  <si>
    <t>B6-B4-B1-B2-B3-B5</t>
  </si>
  <si>
    <t>B6-B4-B1-B5-B2-B3</t>
  </si>
  <si>
    <t>B6-B4-B1-B5-B3-B2</t>
  </si>
  <si>
    <t>B6-B4-B1-B3-B5-B2</t>
  </si>
  <si>
    <t>B6-B4-B1-B3-B2-B5</t>
  </si>
  <si>
    <t>B6-B5-B3-B4-B2-B1</t>
  </si>
  <si>
    <t>B6-B5-B3-B4-B1-B2</t>
  </si>
  <si>
    <t>B6-B5-B3-B2-B4-B1</t>
  </si>
  <si>
    <t>B6-B5-B3-B2-B1-B4</t>
  </si>
  <si>
    <t>B6-B5-B3-B1-B2-B4</t>
  </si>
  <si>
    <t>B6-B5-B3-B1-B4-B2</t>
  </si>
  <si>
    <t>B6-B5-B4-B3-B2-B1</t>
  </si>
  <si>
    <t>B6-B5-B4-B3-B1-B2</t>
  </si>
  <si>
    <t>B6-B5-B4-B2-B3-B1</t>
  </si>
  <si>
    <t>B6-B5-B4-B2-B1-B3</t>
  </si>
  <si>
    <t>B6-B5-B4-B1-B2-B3</t>
  </si>
  <si>
    <t>B6-B5-B4-B1-B3-B2</t>
  </si>
  <si>
    <t>B6-B5-B2-B4-B3-B1</t>
  </si>
  <si>
    <t>B6-B5-B2-B4-B1-B3</t>
  </si>
  <si>
    <t>B6-B5-B2-B3-B4-B1</t>
  </si>
  <si>
    <t>B6-B5-B2-B3-B1-B4</t>
  </si>
  <si>
    <t>B6-B5-B2-B1-B3-B4</t>
  </si>
  <si>
    <t>B6-B5-B2-B1-B4-B3</t>
  </si>
  <si>
    <t>B6-B5-B1-B4-B2-B3</t>
  </si>
  <si>
    <t>B6-B5-B1-B4-B3-B2</t>
  </si>
  <si>
    <t>B6-B5-B1-B2-B4-B3</t>
  </si>
  <si>
    <t>B6-B5-B1-B2-B3-B4</t>
  </si>
  <si>
    <t>B6-B5-B1-B3-B2-B4</t>
  </si>
  <si>
    <t>B6-B5-B1-B3-B4-B2</t>
  </si>
  <si>
    <t>B6-B1-B3-B4-B5-B2</t>
  </si>
  <si>
    <t>B6-B1-B3-B4-B2-B5</t>
  </si>
  <si>
    <t>B6-B1-B3-B5-B4-B2</t>
  </si>
  <si>
    <t>B6-B1-B3-B5-B2-B4</t>
  </si>
  <si>
    <t>B6-B1-B3-B2-B5-B4</t>
  </si>
  <si>
    <t>B6-B1-B3-B2-B4-B5</t>
  </si>
  <si>
    <t>B6-B1-B4-B3-B5-B2</t>
  </si>
  <si>
    <t>B6-B1-B4-B3-B2-B5</t>
  </si>
  <si>
    <t>B6-B1-B4-B5-B3-B2</t>
  </si>
  <si>
    <t>B6-B1-B4-B5-B2-B3</t>
  </si>
  <si>
    <t>B6-B1-B4-B2-B5-B3</t>
  </si>
  <si>
    <t>B6-B1-B4-B2-B3-B5</t>
  </si>
  <si>
    <t>B6-B1-B5-B4-B3-B2</t>
  </si>
  <si>
    <t>B6-B1-B5-B4-B2-B3</t>
  </si>
  <si>
    <t>B6-B1-B5-B3-B4-B2</t>
  </si>
  <si>
    <t>B6-B1-B5-B3-B2-B4</t>
  </si>
  <si>
    <t>B6-B1-B5-B2-B3-B4</t>
  </si>
  <si>
    <t>B6-B1-B5-B2-B4-B3</t>
  </si>
  <si>
    <t>B6-B1-B2-B4-B5-B3</t>
  </si>
  <si>
    <t>B6-B1-B2-B4-B3-B5</t>
  </si>
  <si>
    <t>B6-B1-B2-B5-B4-B3</t>
  </si>
  <si>
    <t>B6-B1-B2-B5-B3-B4</t>
  </si>
  <si>
    <t>B6-B1-B2-B3-B5-B4</t>
  </si>
  <si>
    <t>B6-B1-B2-B3-B4-B5</t>
  </si>
  <si>
    <t>Catchment Area (A)</t>
  </si>
  <si>
    <t>3 Day Rainfall</t>
  </si>
  <si>
    <t>AY70</t>
  </si>
  <si>
    <t>AY82</t>
  </si>
  <si>
    <t>AY94</t>
  </si>
  <si>
    <t>AY106</t>
  </si>
  <si>
    <t>B4, B2, B1, B3</t>
  </si>
  <si>
    <t>Max AY = 5627.6625930954 (at AY94)</t>
  </si>
  <si>
    <t>BW70</t>
  </si>
  <si>
    <t>BW82</t>
  </si>
  <si>
    <t>BW94</t>
  </si>
  <si>
    <t>BW106</t>
  </si>
  <si>
    <t>BW118</t>
  </si>
  <si>
    <t>BW130</t>
  </si>
  <si>
    <t>BW129</t>
  </si>
  <si>
    <t>Best order: B3, B5, B1, B2, B4, B6</t>
  </si>
  <si>
    <t>Max BW (rows 53–193) = 6731.90896938488 (at BW94)</t>
  </si>
  <si>
    <t>Table 2 -Computation of 1-hour Synthetic Unit hydrograph Parameters</t>
  </si>
  <si>
    <t>Table 3 - Unit Hydrograph Coordinates</t>
  </si>
  <si>
    <r>
      <t>q</t>
    </r>
    <r>
      <rPr>
        <vertAlign val="subscript"/>
        <sz val="10"/>
        <rFont val="Calibri "/>
      </rPr>
      <t>p</t>
    </r>
    <r>
      <rPr>
        <sz val="10"/>
        <rFont val="Calibri "/>
      </rPr>
      <t xml:space="preserve">    =</t>
    </r>
  </si>
  <si>
    <r>
      <t>W</t>
    </r>
    <r>
      <rPr>
        <vertAlign val="subscript"/>
        <sz val="10"/>
        <rFont val="Calibri "/>
      </rPr>
      <t>50</t>
    </r>
    <r>
      <rPr>
        <sz val="10"/>
        <rFont val="Calibri "/>
      </rPr>
      <t xml:space="preserve">  =</t>
    </r>
  </si>
  <si>
    <r>
      <t>W</t>
    </r>
    <r>
      <rPr>
        <vertAlign val="subscript"/>
        <sz val="10"/>
        <rFont val="Calibri "/>
      </rPr>
      <t>75</t>
    </r>
    <r>
      <rPr>
        <sz val="10"/>
        <rFont val="Calibri "/>
      </rPr>
      <t xml:space="preserve">  =</t>
    </r>
  </si>
  <si>
    <r>
      <t>W</t>
    </r>
    <r>
      <rPr>
        <vertAlign val="subscript"/>
        <sz val="10"/>
        <rFont val="Calibri "/>
      </rPr>
      <t>R50</t>
    </r>
    <r>
      <rPr>
        <sz val="10"/>
        <rFont val="Calibri "/>
      </rPr>
      <t xml:space="preserve"> =</t>
    </r>
  </si>
  <si>
    <r>
      <t>W</t>
    </r>
    <r>
      <rPr>
        <vertAlign val="subscript"/>
        <sz val="10"/>
        <rFont val="Calibri "/>
      </rPr>
      <t>R75</t>
    </r>
    <r>
      <rPr>
        <sz val="10"/>
        <rFont val="Calibri "/>
      </rPr>
      <t xml:space="preserve"> =</t>
    </r>
  </si>
  <si>
    <r>
      <t>T</t>
    </r>
    <r>
      <rPr>
        <vertAlign val="subscript"/>
        <sz val="10"/>
        <rFont val="Calibri "/>
      </rPr>
      <t>B</t>
    </r>
    <r>
      <rPr>
        <sz val="10"/>
        <rFont val="Calibri "/>
      </rPr>
      <t xml:space="preserve">   =</t>
    </r>
  </si>
  <si>
    <r>
      <t>T</t>
    </r>
    <r>
      <rPr>
        <vertAlign val="subscript"/>
        <sz val="10"/>
        <rFont val="Calibri "/>
      </rPr>
      <t>m</t>
    </r>
    <r>
      <rPr>
        <sz val="10"/>
        <rFont val="Calibri "/>
      </rPr>
      <t xml:space="preserve">   =</t>
    </r>
  </si>
  <si>
    <r>
      <t>Q</t>
    </r>
    <r>
      <rPr>
        <vertAlign val="subscript"/>
        <sz val="10"/>
        <rFont val="Calibri "/>
      </rPr>
      <t>p</t>
    </r>
    <r>
      <rPr>
        <sz val="10"/>
        <rFont val="Calibri "/>
      </rPr>
      <t xml:space="preserve">   =</t>
    </r>
  </si>
  <si>
    <t>Table 4 - Adjusted Unit Hydrograph Coordinates</t>
  </si>
  <si>
    <t>Cl: 3.7 of PMP Atlas Ganga Sub basin</t>
  </si>
  <si>
    <t>Table 3-39 PMP Atlas Ganga Sub basin</t>
  </si>
  <si>
    <t>Table 3-84 PMP Atlas Ganga Sub basin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</si>
</sst>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sz val="11"/>
      <color indexed="8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rgb="FF0070C0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name val="Calibri "/>
    </font>
    <font>
      <vertAlign val="subscript"/>
      <sz val="10"/>
      <name val="Calibri 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6BADA"/>
        <bgColor indexed="64"/>
      </patternFill>
    </fill>
    <fill>
      <patternFill patternType="solid">
        <fgColor rgb="FF5FC4D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170">
    <xf numFmtId="0" fontId="0" fillId="0" borderId="0" xfId="0"/>
    <xf numFmtId="0" fontId="1" fillId="0" borderId="0" xfId="0" applyFont="1"/>
    <xf numFmtId="0" fontId="2" fillId="0" borderId="1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right"/>
    </xf>
    <xf numFmtId="0" fontId="2" fillId="0" borderId="0" xfId="0" applyFont="1"/>
    <xf numFmtId="0" fontId="6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2" fillId="0" borderId="2" xfId="0" applyFont="1" applyBorder="1"/>
    <xf numFmtId="0" fontId="12" fillId="0" borderId="2" xfId="0" applyFont="1" applyBorder="1" applyAlignment="1">
      <alignment horizontal="center" vertical="center"/>
    </xf>
    <xf numFmtId="0" fontId="12" fillId="0" borderId="0" xfId="0" applyFont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165" fontId="7" fillId="3" borderId="2" xfId="0" applyNumberFormat="1" applyFont="1" applyFill="1" applyBorder="1" applyAlignment="1">
      <alignment horizontal="center" vertical="center"/>
    </xf>
    <xf numFmtId="0" fontId="17" fillId="0" borderId="0" xfId="0" applyFont="1"/>
    <xf numFmtId="0" fontId="16" fillId="0" borderId="0" xfId="0" applyFont="1"/>
    <xf numFmtId="0" fontId="17" fillId="0" borderId="0" xfId="0" quotePrefix="1" applyFont="1" applyAlignment="1">
      <alignment horizontal="left"/>
    </xf>
    <xf numFmtId="165" fontId="17" fillId="0" borderId="0" xfId="0" applyNumberFormat="1" applyFont="1"/>
    <xf numFmtId="164" fontId="17" fillId="0" borderId="0" xfId="0" applyNumberFormat="1" applyFont="1" applyAlignment="1">
      <alignment horizontal="right"/>
    </xf>
    <xf numFmtId="0" fontId="0" fillId="0" borderId="2" xfId="0" applyBorder="1"/>
    <xf numFmtId="0" fontId="0" fillId="0" borderId="2" xfId="0" applyBorder="1" applyAlignment="1">
      <alignment horizontal="center"/>
    </xf>
    <xf numFmtId="2" fontId="0" fillId="0" borderId="2" xfId="0" applyNumberFormat="1" applyBorder="1"/>
    <xf numFmtId="0" fontId="14" fillId="0" borderId="2" xfId="0" applyFont="1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4" fillId="0" borderId="2" xfId="0" applyFont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14" fillId="0" borderId="0" xfId="1" applyNumberFormat="1" applyFont="1" applyBorder="1" applyAlignment="1">
      <alignment horizontal="center" vertical="center"/>
    </xf>
    <xf numFmtId="2" fontId="14" fillId="0" borderId="0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/>
    </xf>
    <xf numFmtId="0" fontId="19" fillId="0" borderId="0" xfId="0" applyFont="1"/>
    <xf numFmtId="0" fontId="14" fillId="5" borderId="0" xfId="0" applyFont="1" applyFill="1"/>
    <xf numFmtId="0" fontId="19" fillId="6" borderId="0" xfId="0" applyFont="1" applyFill="1"/>
    <xf numFmtId="0" fontId="1" fillId="6" borderId="0" xfId="0" applyFont="1" applyFill="1"/>
    <xf numFmtId="0" fontId="0" fillId="6" borderId="0" xfId="0" applyFill="1"/>
    <xf numFmtId="0" fontId="14" fillId="0" borderId="2" xfId="0" applyFont="1" applyBorder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1" fontId="0" fillId="0" borderId="2" xfId="0" applyNumberFormat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center"/>
    </xf>
    <xf numFmtId="9" fontId="0" fillId="0" borderId="0" xfId="0" applyNumberFormat="1"/>
    <xf numFmtId="164" fontId="0" fillId="0" borderId="0" xfId="0" applyNumberFormat="1"/>
    <xf numFmtId="9" fontId="0" fillId="0" borderId="7" xfId="1" applyFont="1" applyBorder="1" applyAlignment="1">
      <alignment horizontal="center" vertical="center"/>
    </xf>
    <xf numFmtId="2" fontId="0" fillId="0" borderId="0" xfId="0" applyNumberFormat="1"/>
    <xf numFmtId="2" fontId="0" fillId="0" borderId="2" xfId="0" applyNumberFormat="1" applyBorder="1" applyAlignment="1">
      <alignment horizontal="center"/>
    </xf>
    <xf numFmtId="164" fontId="14" fillId="9" borderId="2" xfId="0" applyNumberFormat="1" applyFont="1" applyFill="1" applyBorder="1" applyAlignment="1">
      <alignment horizontal="center" vertical="center"/>
    </xf>
    <xf numFmtId="164" fontId="14" fillId="10" borderId="2" xfId="0" applyNumberFormat="1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 wrapText="1"/>
    </xf>
    <xf numFmtId="164" fontId="14" fillId="11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4" fillId="8" borderId="2" xfId="0" applyNumberFormat="1" applyFont="1" applyFill="1" applyBorder="1" applyAlignment="1">
      <alignment horizontal="center" vertical="center"/>
    </xf>
    <xf numFmtId="0" fontId="14" fillId="8" borderId="2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14" fillId="12" borderId="2" xfId="0" applyFont="1" applyFill="1" applyBorder="1" applyAlignment="1">
      <alignment horizontal="center" vertical="center" wrapText="1"/>
    </xf>
    <xf numFmtId="165" fontId="0" fillId="0" borderId="2" xfId="0" applyNumberFormat="1" applyBorder="1"/>
    <xf numFmtId="165" fontId="0" fillId="0" borderId="2" xfId="0" applyNumberFormat="1" applyBorder="1" applyAlignment="1">
      <alignment horizontal="center"/>
    </xf>
    <xf numFmtId="1" fontId="0" fillId="0" borderId="0" xfId="0" applyNumberFormat="1"/>
    <xf numFmtId="2" fontId="14" fillId="0" borderId="2" xfId="0" applyNumberFormat="1" applyFont="1" applyBorder="1" applyAlignment="1">
      <alignment horizontal="center"/>
    </xf>
    <xf numFmtId="2" fontId="14" fillId="3" borderId="2" xfId="0" applyNumberFormat="1" applyFont="1" applyFill="1" applyBorder="1" applyAlignment="1">
      <alignment horizontal="center" vertical="center"/>
    </xf>
    <xf numFmtId="1" fontId="14" fillId="3" borderId="2" xfId="0" applyNumberFormat="1" applyFont="1" applyFill="1" applyBorder="1" applyAlignment="1">
      <alignment horizontal="center"/>
    </xf>
    <xf numFmtId="0" fontId="14" fillId="13" borderId="0" xfId="0" applyFont="1" applyFill="1"/>
    <xf numFmtId="0" fontId="0" fillId="13" borderId="0" xfId="0" applyFill="1"/>
    <xf numFmtId="0" fontId="14" fillId="0" borderId="0" xfId="0" applyFont="1"/>
    <xf numFmtId="0" fontId="14" fillId="0" borderId="0" xfId="0" applyFont="1" applyAlignment="1">
      <alignment horizontal="center"/>
    </xf>
    <xf numFmtId="2" fontId="1" fillId="0" borderId="0" xfId="0" applyNumberFormat="1" applyFont="1"/>
    <xf numFmtId="0" fontId="2" fillId="0" borderId="0" xfId="0" applyFont="1" applyAlignment="1">
      <alignment horizontal="center"/>
    </xf>
    <xf numFmtId="0" fontId="1" fillId="0" borderId="2" xfId="0" applyFont="1" applyBorder="1"/>
    <xf numFmtId="0" fontId="20" fillId="7" borderId="0" xfId="0" applyFont="1" applyFill="1" applyAlignment="1">
      <alignment vertical="center"/>
    </xf>
    <xf numFmtId="0" fontId="14" fillId="0" borderId="0" xfId="0" applyFont="1" applyAlignment="1">
      <alignment horizontal="left"/>
    </xf>
    <xf numFmtId="0" fontId="24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2" fontId="1" fillId="0" borderId="0" xfId="0" applyNumberFormat="1" applyFont="1" applyAlignment="1">
      <alignment horizontal="right"/>
    </xf>
    <xf numFmtId="0" fontId="2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quotePrefix="1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/>
    </xf>
    <xf numFmtId="2" fontId="14" fillId="0" borderId="0" xfId="0" applyNumberFormat="1" applyFont="1" applyAlignment="1">
      <alignment horizontal="center"/>
    </xf>
    <xf numFmtId="1" fontId="14" fillId="0" borderId="0" xfId="0" applyNumberFormat="1" applyFont="1" applyAlignment="1">
      <alignment horizontal="center"/>
    </xf>
    <xf numFmtId="0" fontId="14" fillId="5" borderId="2" xfId="0" applyFont="1" applyFill="1" applyBorder="1" applyAlignment="1">
      <alignment horizontal="center"/>
    </xf>
    <xf numFmtId="0" fontId="14" fillId="5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/>
    </xf>
    <xf numFmtId="0" fontId="14" fillId="6" borderId="2" xfId="0" applyFont="1" applyFill="1" applyBorder="1"/>
    <xf numFmtId="0" fontId="13" fillId="4" borderId="2" xfId="1" applyNumberFormat="1" applyFont="1" applyFill="1" applyBorder="1" applyAlignment="1">
      <alignment horizontal="center" vertical="center"/>
    </xf>
    <xf numFmtId="0" fontId="13" fillId="4" borderId="2" xfId="1" applyNumberFormat="1" applyFon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0" fontId="14" fillId="0" borderId="2" xfId="1" applyNumberFormat="1" applyFont="1" applyBorder="1" applyAlignment="1">
      <alignment horizontal="center" vertical="center"/>
    </xf>
    <xf numFmtId="2" fontId="14" fillId="0" borderId="2" xfId="1" applyNumberFormat="1" applyFont="1" applyBorder="1" applyAlignment="1">
      <alignment horizontal="center" vertical="center"/>
    </xf>
    <xf numFmtId="2" fontId="26" fillId="3" borderId="2" xfId="0" applyNumberFormat="1" applyFont="1" applyFill="1" applyBorder="1" applyAlignment="1">
      <alignment horizontal="center"/>
    </xf>
    <xf numFmtId="0" fontId="26" fillId="4" borderId="2" xfId="1" applyNumberFormat="1" applyFont="1" applyFill="1" applyBorder="1" applyAlignment="1">
      <alignment horizontal="center"/>
    </xf>
    <xf numFmtId="2" fontId="26" fillId="4" borderId="2" xfId="0" applyNumberFormat="1" applyFont="1" applyFill="1" applyBorder="1" applyAlignment="1">
      <alignment horizontal="center"/>
    </xf>
    <xf numFmtId="2" fontId="27" fillId="4" borderId="2" xfId="0" applyNumberFormat="1" applyFont="1" applyFill="1" applyBorder="1" applyAlignment="1">
      <alignment horizontal="center"/>
    </xf>
    <xf numFmtId="2" fontId="27" fillId="3" borderId="2" xfId="0" applyNumberFormat="1" applyFont="1" applyFill="1" applyBorder="1" applyAlignment="1">
      <alignment horizontal="center"/>
    </xf>
    <xf numFmtId="0" fontId="14" fillId="0" borderId="2" xfId="0" applyFont="1" applyBorder="1" applyAlignment="1">
      <alignment horizontal="left"/>
    </xf>
    <xf numFmtId="2" fontId="27" fillId="0" borderId="2" xfId="0" applyNumberFormat="1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14" fillId="5" borderId="2" xfId="0" applyFont="1" applyFill="1" applyBorder="1"/>
    <xf numFmtId="0" fontId="14" fillId="5" borderId="7" xfId="0" applyFont="1" applyFill="1" applyBorder="1" applyAlignment="1">
      <alignment horizontal="center" vertical="center"/>
    </xf>
    <xf numFmtId="0" fontId="22" fillId="7" borderId="2" xfId="0" applyFont="1" applyFill="1" applyBorder="1"/>
    <xf numFmtId="0" fontId="23" fillId="7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4" fillId="5" borderId="2" xfId="0" applyFont="1" applyFill="1" applyBorder="1" applyAlignment="1">
      <alignment horizontal="center" vertical="center" wrapText="1"/>
    </xf>
    <xf numFmtId="0" fontId="14" fillId="5" borderId="2" xfId="0" applyFont="1" applyFill="1" applyBorder="1" applyAlignment="1">
      <alignment horizontal="center" vertical="center"/>
    </xf>
    <xf numFmtId="0" fontId="22" fillId="7" borderId="3" xfId="0" applyFont="1" applyFill="1" applyBorder="1" applyAlignment="1">
      <alignment horizontal="center"/>
    </xf>
    <xf numFmtId="0" fontId="22" fillId="7" borderId="5" xfId="0" applyFont="1" applyFill="1" applyBorder="1" applyAlignment="1">
      <alignment horizontal="center"/>
    </xf>
    <xf numFmtId="0" fontId="14" fillId="0" borderId="3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 vertical="center" wrapText="1"/>
    </xf>
    <xf numFmtId="0" fontId="14" fillId="0" borderId="3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4" fillId="0" borderId="3" xfId="0" applyFont="1" applyBorder="1" applyAlignment="1">
      <alignment horizontal="left"/>
    </xf>
    <xf numFmtId="0" fontId="14" fillId="0" borderId="5" xfId="0" applyFont="1" applyBorder="1" applyAlignment="1">
      <alignment horizontal="left"/>
    </xf>
    <xf numFmtId="0" fontId="14" fillId="5" borderId="2" xfId="0" applyFont="1" applyFill="1" applyBorder="1" applyAlignment="1">
      <alignment horizontal="center"/>
    </xf>
    <xf numFmtId="0" fontId="22" fillId="7" borderId="0" xfId="0" applyFont="1" applyFill="1" applyAlignment="1">
      <alignment horizontal="center" vertical="center" wrapText="1"/>
    </xf>
    <xf numFmtId="0" fontId="18" fillId="5" borderId="2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/>
    </xf>
    <xf numFmtId="0" fontId="22" fillId="7" borderId="2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8"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5FC4DF"/>
        </patternFill>
      </fill>
    </dxf>
    <dxf>
      <fill>
        <patternFill>
          <bgColor theme="5" tint="0.59996337778862885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66CCFF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6BADA"/>
      <color rgb="FF5FC4DF"/>
      <color rgb="FF89DFEB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Synthetic Unit Hydrograph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SUH!$V$69</c:f>
              <c:strCache>
                <c:ptCount val="1"/>
                <c:pt idx="0">
                  <c:v>Discharge (cumec)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trendline>
            <c:trendlineType val="log"/>
            <c:dispRSqr val="0"/>
            <c:dispEq val="0"/>
          </c:trendline>
          <c:trendline>
            <c:trendlineType val="log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SUH!$U$79:$U$112</c:f>
              <c:numCache>
                <c:formatCode>0.00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SUH!$V$79:$V$112</c:f>
              <c:numCache>
                <c:formatCode>0.00</c:formatCode>
                <c:ptCount val="34"/>
                <c:pt idx="0">
                  <c:v>0</c:v>
                </c:pt>
                <c:pt idx="1">
                  <c:v>17.083333333333332</c:v>
                </c:pt>
                <c:pt idx="2">
                  <c:v>34.166666666666664</c:v>
                </c:pt>
                <c:pt idx="3">
                  <c:v>51.25</c:v>
                </c:pt>
                <c:pt idx="4">
                  <c:v>68.333333333333329</c:v>
                </c:pt>
                <c:pt idx="5">
                  <c:v>85.416666666666657</c:v>
                </c:pt>
                <c:pt idx="6">
                  <c:v>102.5</c:v>
                </c:pt>
                <c:pt idx="7">
                  <c:v>153.75</c:v>
                </c:pt>
                <c:pt idx="8">
                  <c:v>179.375</c:v>
                </c:pt>
                <c:pt idx="9">
                  <c:v>205</c:v>
                </c:pt>
                <c:pt idx="10">
                  <c:v>187.91666666666669</c:v>
                </c:pt>
                <c:pt idx="11">
                  <c:v>170.83333333333334</c:v>
                </c:pt>
                <c:pt idx="12">
                  <c:v>153.75</c:v>
                </c:pt>
                <c:pt idx="13">
                  <c:v>136.66666666666669</c:v>
                </c:pt>
                <c:pt idx="14">
                  <c:v>119.58333333333334</c:v>
                </c:pt>
                <c:pt idx="15">
                  <c:v>102.50000000000001</c:v>
                </c:pt>
                <c:pt idx="16">
                  <c:v>96.805555555555571</c:v>
                </c:pt>
                <c:pt idx="17">
                  <c:v>91.111111111111128</c:v>
                </c:pt>
                <c:pt idx="18">
                  <c:v>85.416666666666686</c:v>
                </c:pt>
                <c:pt idx="19">
                  <c:v>79.722222222222243</c:v>
                </c:pt>
                <c:pt idx="20">
                  <c:v>74.0277777777778</c:v>
                </c:pt>
                <c:pt idx="21">
                  <c:v>68.333333333333343</c:v>
                </c:pt>
                <c:pt idx="22">
                  <c:v>62.6388888888889</c:v>
                </c:pt>
                <c:pt idx="23">
                  <c:v>56.944444444444457</c:v>
                </c:pt>
                <c:pt idx="24">
                  <c:v>51.25</c:v>
                </c:pt>
                <c:pt idx="25">
                  <c:v>45.555555555555571</c:v>
                </c:pt>
                <c:pt idx="26">
                  <c:v>39.861111111111114</c:v>
                </c:pt>
                <c:pt idx="27">
                  <c:v>34.166666666666686</c:v>
                </c:pt>
                <c:pt idx="28">
                  <c:v>28.472222222222229</c:v>
                </c:pt>
                <c:pt idx="29">
                  <c:v>22.7777777777778</c:v>
                </c:pt>
                <c:pt idx="30">
                  <c:v>17.083333333333343</c:v>
                </c:pt>
                <c:pt idx="31">
                  <c:v>11.388888888888914</c:v>
                </c:pt>
                <c:pt idx="32">
                  <c:v>5.6944444444444571</c:v>
                </c:pt>
                <c:pt idx="3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E3-413E-B239-93A7CC11001F}"/>
            </c:ext>
          </c:extLst>
        </c:ser>
        <c:ser>
          <c:idx val="1"/>
          <c:order val="1"/>
          <c:tx>
            <c:strRef>
              <c:f>'[1]Annexure 2 (a) - SUH Method'!$B$76:$B$82</c:f>
              <c:strCache>
                <c:ptCount val="1"/>
                <c:pt idx="0">
                  <c:v>0 9 11 14 19 24 48</c:v>
                </c:pt>
              </c:strCache>
            </c:strRef>
          </c:tx>
          <c:marker>
            <c:symbol val="none"/>
          </c:marker>
          <c:xVal>
            <c:numRef>
              <c:f>'[1]Annexure 2 (a) - SUH Method'!$C$76:$C$82</c:f>
              <c:numCache>
                <c:formatCode>General</c:formatCode>
                <c:ptCount val="7"/>
                <c:pt idx="0">
                  <c:v>0</c:v>
                </c:pt>
                <c:pt idx="1">
                  <c:v>94</c:v>
                </c:pt>
                <c:pt idx="2">
                  <c:v>141</c:v>
                </c:pt>
                <c:pt idx="3">
                  <c:v>188</c:v>
                </c:pt>
                <c:pt idx="4">
                  <c:v>141</c:v>
                </c:pt>
                <c:pt idx="5">
                  <c:v>94</c:v>
                </c:pt>
                <c:pt idx="6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89E3-413E-B239-93A7CC11001F}"/>
            </c:ext>
          </c:extLst>
        </c:ser>
        <c:ser>
          <c:idx val="2"/>
          <c:order val="2"/>
          <c:spPr>
            <a:ln w="38100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SUH!$U$70:$U$76</c:f>
              <c:numCache>
                <c:formatCode>0.00</c:formatCode>
                <c:ptCount val="7"/>
                <c:pt idx="0" formatCode="General">
                  <c:v>0</c:v>
                </c:pt>
                <c:pt idx="1">
                  <c:v>6</c:v>
                </c:pt>
                <c:pt idx="2">
                  <c:v>7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33</c:v>
                </c:pt>
              </c:numCache>
            </c:numRef>
          </c:xVal>
          <c:yVal>
            <c:numRef>
              <c:f>SUH!$V$70:$V$76</c:f>
              <c:numCache>
                <c:formatCode>0.00</c:formatCode>
                <c:ptCount val="7"/>
                <c:pt idx="0" formatCode="General">
                  <c:v>0</c:v>
                </c:pt>
                <c:pt idx="1">
                  <c:v>102.5</c:v>
                </c:pt>
                <c:pt idx="2">
                  <c:v>153.75</c:v>
                </c:pt>
                <c:pt idx="3">
                  <c:v>205</c:v>
                </c:pt>
                <c:pt idx="4">
                  <c:v>153.75</c:v>
                </c:pt>
                <c:pt idx="5">
                  <c:v>102.5</c:v>
                </c:pt>
                <c:pt idx="6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E3-413E-B239-93A7CC110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3537840"/>
        <c:axId val="-143536752"/>
      </c:scatterChart>
      <c:valAx>
        <c:axId val="-143537840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 Duration</a:t>
                </a:r>
                <a:r>
                  <a:rPr lang="en-IN" baseline="0"/>
                  <a:t> in Hrs. -----&gt;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43339315672761192"/>
              <c:y val="0.94749771003947514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-143536752"/>
        <c:crosses val="autoZero"/>
        <c:crossBetween val="midCat"/>
        <c:majorUnit val="5"/>
        <c:minorUnit val="1"/>
      </c:valAx>
      <c:valAx>
        <c:axId val="-143536752"/>
        <c:scaling>
          <c:orientation val="minMax"/>
          <c:min val="0"/>
        </c:scaling>
        <c:delete val="0"/>
        <c:axPos val="l"/>
        <c:majorGridlines/>
        <c:minorGridlines>
          <c:spPr>
            <a:ln w="6350">
              <a:solidFill>
                <a:schemeClr val="accent1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IN"/>
                  <a:t>Discharge in cumec-----&gt;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-143537840"/>
        <c:crosses val="autoZero"/>
        <c:crossBetween val="midCat"/>
        <c:majorUnit val="25"/>
      </c:valAx>
    </c:plotArea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818289955134918E-2"/>
          <c:y val="9.0433302571577445E-2"/>
          <c:w val="0.87965059539971302"/>
          <c:h val="0.812020058313271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'24hr SPS'!$AC$52</c:f>
              <c:strCache>
                <c:ptCount val="1"/>
                <c:pt idx="0">
                  <c:v>PMF Hydrograph (Cumec)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7"/>
              <c:layout>
                <c:manualLayout>
                  <c:x val="1.9234364884575913E-2"/>
                  <c:y val="-4.249999825705389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5C49-40DA-B733-9BA417D82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'24hr SPS'!$A$53:$A$146</c:f>
              <c:numCache>
                <c:formatCode>0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'24hr SPS'!$AC$53:$AC$146</c:f>
              <c:numCache>
                <c:formatCode>0</c:formatCode>
                <c:ptCount val="58"/>
                <c:pt idx="0">
                  <c:v>15.757379999999998</c:v>
                </c:pt>
                <c:pt idx="1">
                  <c:v>40.825158650573059</c:v>
                </c:pt>
                <c:pt idx="2">
                  <c:v>96.760105015167113</c:v>
                </c:pt>
                <c:pt idx="3">
                  <c:v>183.56221909378218</c:v>
                </c:pt>
                <c:pt idx="4">
                  <c:v>301.23150088641825</c:v>
                </c:pt>
                <c:pt idx="5">
                  <c:v>449.7679503930753</c:v>
                </c:pt>
                <c:pt idx="6">
                  <c:v>634.97095667720134</c:v>
                </c:pt>
                <c:pt idx="7">
                  <c:v>912.7754661033905</c:v>
                </c:pt>
                <c:pt idx="8">
                  <c:v>1291.9749232033664</c:v>
                </c:pt>
                <c:pt idx="9">
                  <c:v>1804.4659678260932</c:v>
                </c:pt>
                <c:pt idx="10">
                  <c:v>2312.1870955203149</c:v>
                </c:pt>
                <c:pt idx="11">
                  <c:v>2794.8404445639626</c:v>
                </c:pt>
                <c:pt idx="12">
                  <c:v>3258.2254040204866</c:v>
                </c:pt>
                <c:pt idx="13">
                  <c:v>3681.1702316240098</c:v>
                </c:pt>
                <c:pt idx="14">
                  <c:v>4126.7134920573535</c:v>
                </c:pt>
                <c:pt idx="15">
                  <c:v>4609.3536579791389</c:v>
                </c:pt>
                <c:pt idx="16">
                  <c:v>4919.6264083486094</c:v>
                </c:pt>
                <c:pt idx="17">
                  <c:v>5075.8964752000193</c:v>
                </c:pt>
                <c:pt idx="18">
                  <c:v>4975.9198349079234</c:v>
                </c:pt>
                <c:pt idx="19">
                  <c:v>4770.8778215509683</c:v>
                </c:pt>
                <c:pt idx="20">
                  <c:v>4528.535899117117</c:v>
                </c:pt>
                <c:pt idx="21">
                  <c:v>4279.0561869820167</c:v>
                </c:pt>
                <c:pt idx="22">
                  <c:v>4058.5988027992694</c:v>
                </c:pt>
                <c:pt idx="23">
                  <c:v>3882.8538745145024</c:v>
                </c:pt>
                <c:pt idx="24">
                  <c:v>3781.0301972737584</c:v>
                </c:pt>
                <c:pt idx="25">
                  <c:v>3694.9981785190898</c:v>
                </c:pt>
                <c:pt idx="26">
                  <c:v>3643.4138437993515</c:v>
                </c:pt>
                <c:pt idx="27">
                  <c:v>3627.7733825304563</c:v>
                </c:pt>
                <c:pt idx="28">
                  <c:v>3548.3749690325794</c:v>
                </c:pt>
                <c:pt idx="29">
                  <c:v>3412.0110384416789</c:v>
                </c:pt>
                <c:pt idx="30">
                  <c:v>3180.0719594586312</c:v>
                </c:pt>
                <c:pt idx="31">
                  <c:v>2907.6056147823638</c:v>
                </c:pt>
                <c:pt idx="32">
                  <c:v>2613.3855188539787</c:v>
                </c:pt>
                <c:pt idx="33">
                  <c:v>2304.2041068094327</c:v>
                </c:pt>
                <c:pt idx="34">
                  <c:v>2012.1990672925947</c:v>
                </c:pt>
                <c:pt idx="35">
                  <c:v>1747.8834480577511</c:v>
                </c:pt>
                <c:pt idx="36">
                  <c:v>1521.2671535157854</c:v>
                </c:pt>
                <c:pt idx="37">
                  <c:v>1313.7603611893435</c:v>
                </c:pt>
                <c:pt idx="38">
                  <c:v>1123.9330847340132</c:v>
                </c:pt>
                <c:pt idx="39">
                  <c:v>952.28846749319951</c:v>
                </c:pt>
                <c:pt idx="40">
                  <c:v>794.79916553269118</c:v>
                </c:pt>
                <c:pt idx="41">
                  <c:v>663.0639569793841</c:v>
                </c:pt>
                <c:pt idx="42">
                  <c:v>570.61474964799083</c:v>
                </c:pt>
                <c:pt idx="43">
                  <c:v>492.32085759690301</c:v>
                </c:pt>
                <c:pt idx="44">
                  <c:v>426.2491511383048</c:v>
                </c:pt>
                <c:pt idx="45">
                  <c:v>370.46650058438047</c:v>
                </c:pt>
                <c:pt idx="46">
                  <c:v>316.94909366926333</c:v>
                </c:pt>
                <c:pt idx="47">
                  <c:v>266.41192356515955</c:v>
                </c:pt>
                <c:pt idx="48">
                  <c:v>218.8549902720689</c:v>
                </c:pt>
                <c:pt idx="49">
                  <c:v>174.27829378999155</c:v>
                </c:pt>
                <c:pt idx="50">
                  <c:v>132.68183411892744</c:v>
                </c:pt>
                <c:pt idx="51">
                  <c:v>94.78060443108248</c:v>
                </c:pt>
                <c:pt idx="52">
                  <c:v>61.289597898662535</c:v>
                </c:pt>
                <c:pt idx="53">
                  <c:v>36.498773554903131</c:v>
                </c:pt>
                <c:pt idx="54">
                  <c:v>25.41308360524566</c:v>
                </c:pt>
                <c:pt idx="55">
                  <c:v>18.737616811013247</c:v>
                </c:pt>
                <c:pt idx="56">
                  <c:v>15.757379999999998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49-40DA-B733-9BA417D82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82463"/>
        <c:axId val="794795568"/>
      </c:scatterChart>
      <c:valAx>
        <c:axId val="1009282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TIME</a:t>
                </a:r>
                <a:r>
                  <a:rPr lang="en-IN" baseline="0"/>
                  <a:t> (HOURS)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95568"/>
        <c:crosses val="autoZero"/>
        <c:crossBetween val="midCat"/>
      </c:valAx>
      <c:valAx>
        <c:axId val="79479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DISCHARGE (CUMEC)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8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818289955134918E-2"/>
          <c:y val="9.0433302571577445E-2"/>
          <c:w val="0.87965059539971302"/>
          <c:h val="0.812020058313271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'48hr SPS '!$BA$52</c:f>
              <c:strCache>
                <c:ptCount val="1"/>
                <c:pt idx="0">
                  <c:v>PMF Hydrograph (Cumec)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'48hr SPS '!$A$53:$A$169</c:f>
              <c:numCache>
                <c:formatCode>0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0</c:v>
                </c:pt>
              </c:numCache>
            </c:numRef>
          </c:xVal>
          <c:yVal>
            <c:numRef>
              <c:f>'48hr SPS '!$BA$53:$BA$168</c:f>
              <c:numCache>
                <c:formatCode>0</c:formatCode>
                <c:ptCount val="81"/>
                <c:pt idx="0">
                  <c:v>15.757379999999998</c:v>
                </c:pt>
                <c:pt idx="1">
                  <c:v>15.757379999999998</c:v>
                </c:pt>
                <c:pt idx="2">
                  <c:v>16.266627576938131</c:v>
                </c:pt>
                <c:pt idx="3">
                  <c:v>17.2851227308144</c:v>
                </c:pt>
                <c:pt idx="4">
                  <c:v>18.8128654616288</c:v>
                </c:pt>
                <c:pt idx="5">
                  <c:v>20.849855769381335</c:v>
                </c:pt>
                <c:pt idx="6">
                  <c:v>24.135829361339471</c:v>
                </c:pt>
                <c:pt idx="7">
                  <c:v>29.410521944770675</c:v>
                </c:pt>
                <c:pt idx="8">
                  <c:v>42.130842917156016</c:v>
                </c:pt>
                <c:pt idx="9">
                  <c:v>66.711070863960558</c:v>
                </c:pt>
                <c:pt idx="10">
                  <c:v>93.534641590707238</c:v>
                </c:pt>
                <c:pt idx="11">
                  <c:v>120.58870044778327</c:v>
                </c:pt>
                <c:pt idx="12">
                  <c:v>148.61298314245607</c:v>
                </c:pt>
                <c:pt idx="13">
                  <c:v>184.26384086784333</c:v>
                </c:pt>
                <c:pt idx="14">
                  <c:v>237.45347806687101</c:v>
                </c:pt>
                <c:pt idx="15">
                  <c:v>310.03123400770801</c:v>
                </c:pt>
                <c:pt idx="16">
                  <c:v>373.14741610692295</c:v>
                </c:pt>
                <c:pt idx="17">
                  <c:v>428.99086201730995</c:v>
                </c:pt>
                <c:pt idx="18">
                  <c:v>466.39130852467241</c:v>
                </c:pt>
                <c:pt idx="19">
                  <c:v>525.21771587168962</c:v>
                </c:pt>
                <c:pt idx="20">
                  <c:v>615.04953445024626</c:v>
                </c:pt>
                <c:pt idx="21">
                  <c:v>750.02664800808691</c:v>
                </c:pt>
                <c:pt idx="22">
                  <c:v>887.04127161864983</c:v>
                </c:pt>
                <c:pt idx="23">
                  <c:v>1021.5449198028425</c:v>
                </c:pt>
                <c:pt idx="24">
                  <c:v>1159.134672044531</c:v>
                </c:pt>
                <c:pt idx="25">
                  <c:v>1310.5990435232395</c:v>
                </c:pt>
                <c:pt idx="26">
                  <c:v>1503.7665510887239</c:v>
                </c:pt>
                <c:pt idx="27">
                  <c:v>1743.5064863943501</c:v>
                </c:pt>
                <c:pt idx="28">
                  <c:v>1950.3556371850157</c:v>
                </c:pt>
                <c:pt idx="29">
                  <c:v>2131.106438596677</c:v>
                </c:pt>
                <c:pt idx="30">
                  <c:v>2252.9486483936626</c:v>
                </c:pt>
                <c:pt idx="31">
                  <c:v>2426.8650956394904</c:v>
                </c:pt>
                <c:pt idx="32">
                  <c:v>2680.4227393069873</c:v>
                </c:pt>
                <c:pt idx="33">
                  <c:v>3052.3106543810745</c:v>
                </c:pt>
                <c:pt idx="34">
                  <c:v>3428.2490988375062</c:v>
                </c:pt>
                <c:pt idx="35">
                  <c:v>3796.6898782129992</c:v>
                </c:pt>
                <c:pt idx="36">
                  <c:v>4173.4422859818833</c:v>
                </c:pt>
                <c:pt idx="37">
                  <c:v>4518.019990675346</c:v>
                </c:pt>
                <c:pt idx="38">
                  <c:v>4891.8866172866792</c:v>
                </c:pt>
                <c:pt idx="39">
                  <c:v>5308.3572306991819</c:v>
                </c:pt>
                <c:pt idx="40">
                  <c:v>5552.2536148191602</c:v>
                </c:pt>
                <c:pt idx="41">
                  <c:v>5643.4199730954033</c:v>
                </c:pt>
                <c:pt idx="42">
                  <c:v>5481.1933785409701</c:v>
                </c:pt>
                <c:pt idx="43">
                  <c:v>5211.955157040069</c:v>
                </c:pt>
                <c:pt idx="44">
                  <c:v>4903.151717339013</c:v>
                </c:pt>
                <c:pt idx="45">
                  <c:v>4583.9013568462169</c:v>
                </c:pt>
                <c:pt idx="46">
                  <c:v>4296.1559979622562</c:v>
                </c:pt>
                <c:pt idx="47">
                  <c:v>4056.8280985128727</c:v>
                </c:pt>
                <c:pt idx="48">
                  <c:v>3894.9815002989926</c:v>
                </c:pt>
                <c:pt idx="49">
                  <c:v>3753.2838541608112</c:v>
                </c:pt>
                <c:pt idx="50">
                  <c:v>3648.8691755234577</c:v>
                </c:pt>
                <c:pt idx="51">
                  <c:v>3583.5862636122552</c:v>
                </c:pt>
                <c:pt idx="52">
                  <c:v>3463.6182885620888</c:v>
                </c:pt>
                <c:pt idx="53">
                  <c:v>3299.5886256159438</c:v>
                </c:pt>
                <c:pt idx="54">
                  <c:v>3060.5017558922459</c:v>
                </c:pt>
                <c:pt idx="55">
                  <c:v>2788.9216772586724</c:v>
                </c:pt>
                <c:pt idx="56">
                  <c:v>2501.2399475152779</c:v>
                </c:pt>
                <c:pt idx="57">
                  <c:v>2203.0749896996085</c:v>
                </c:pt>
                <c:pt idx="58">
                  <c:v>1921.3133199043584</c:v>
                </c:pt>
                <c:pt idx="59">
                  <c:v>1665.8881725033457</c:v>
                </c:pt>
                <c:pt idx="60">
                  <c:v>1446.1330029635756</c:v>
                </c:pt>
                <c:pt idx="61">
                  <c:v>1244.7142511320392</c:v>
                </c:pt>
                <c:pt idx="62">
                  <c:v>1060.2985662277365</c:v>
                </c:pt>
                <c:pt idx="63">
                  <c:v>893.48572715748264</c:v>
                </c:pt>
                <c:pt idx="64">
                  <c:v>740.82820336753446</c:v>
                </c:pt>
                <c:pt idx="65">
                  <c:v>613.92477298478752</c:v>
                </c:pt>
                <c:pt idx="66">
                  <c:v>526.3073438239544</c:v>
                </c:pt>
                <c:pt idx="67">
                  <c:v>452.84522994342672</c:v>
                </c:pt>
                <c:pt idx="68">
                  <c:v>391.6053016553887</c:v>
                </c:pt>
                <c:pt idx="69">
                  <c:v>340.65442927202446</c:v>
                </c:pt>
                <c:pt idx="70">
                  <c:v>291.72721161893946</c:v>
                </c:pt>
                <c:pt idx="71">
                  <c:v>245.49032408663413</c:v>
                </c:pt>
                <c:pt idx="72">
                  <c:v>201.94376667510841</c:v>
                </c:pt>
                <c:pt idx="73">
                  <c:v>161.0875393843624</c:v>
                </c:pt>
                <c:pt idx="74">
                  <c:v>122.92164221439596</c:v>
                </c:pt>
                <c:pt idx="75">
                  <c:v>88.112750555709468</c:v>
                </c:pt>
                <c:pt idx="76">
                  <c:v>57.327539798803222</c:v>
                </c:pt>
                <c:pt idx="77">
                  <c:v>34.566062286679077</c:v>
                </c:pt>
                <c:pt idx="78">
                  <c:v>24.495045752839232</c:v>
                </c:pt>
                <c:pt idx="79">
                  <c:v>18.447710120779639</c:v>
                </c:pt>
                <c:pt idx="80">
                  <c:v>15.757379999999998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6C-498F-93CE-0C92970F2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82463"/>
        <c:axId val="794795568"/>
      </c:scatterChart>
      <c:valAx>
        <c:axId val="1009282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TIME</a:t>
                </a:r>
                <a:r>
                  <a:rPr lang="en-IN" baseline="0"/>
                  <a:t> (HOURS)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95568"/>
        <c:crosses val="autoZero"/>
        <c:crossBetween val="midCat"/>
      </c:valAx>
      <c:valAx>
        <c:axId val="79479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DISCHARGE (CUMEC)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8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818289955134918E-2"/>
          <c:y val="9.0433302571577445E-2"/>
          <c:w val="0.87965059539971302"/>
          <c:h val="0.812020058313271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'72hr SPS  '!$BY$52</c:f>
              <c:strCache>
                <c:ptCount val="1"/>
                <c:pt idx="0">
                  <c:v>Flood Hydrograph (Cumec)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'72hr SPS  '!$A$53:$A$193</c:f>
              <c:numCache>
                <c:formatCode>0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xVal>
          <c:yVal>
            <c:numRef>
              <c:f>'72hr SPS  '!$BY$53:$BY$193</c:f>
              <c:numCache>
                <c:formatCode>0</c:formatCode>
                <c:ptCount val="141"/>
                <c:pt idx="0">
                  <c:v>15.757379999999998</c:v>
                </c:pt>
                <c:pt idx="1">
                  <c:v>25.757510857504641</c:v>
                </c:pt>
                <c:pt idx="2">
                  <c:v>47.757798744014849</c:v>
                </c:pt>
                <c:pt idx="3">
                  <c:v>81.758243659530635</c:v>
                </c:pt>
                <c:pt idx="4">
                  <c:v>127.75884560405198</c:v>
                </c:pt>
                <c:pt idx="5">
                  <c:v>185.7596045775789</c:v>
                </c:pt>
                <c:pt idx="6">
                  <c:v>257.76054675161237</c:v>
                </c:pt>
                <c:pt idx="7">
                  <c:v>365.76196001266248</c:v>
                </c:pt>
                <c:pt idx="8">
                  <c:v>510.76385744647979</c:v>
                </c:pt>
                <c:pt idx="9">
                  <c:v>703.76638299631963</c:v>
                </c:pt>
                <c:pt idx="10">
                  <c:v>893.76886928890758</c:v>
                </c:pt>
                <c:pt idx="11">
                  <c:v>1073.7712247239911</c:v>
                </c:pt>
                <c:pt idx="12">
                  <c:v>1245.7734754730711</c:v>
                </c:pt>
                <c:pt idx="13">
                  <c:v>1416.4039919768377</c:v>
                </c:pt>
                <c:pt idx="14">
                  <c:v>1610.1887519128404</c:v>
                </c:pt>
                <c:pt idx="15">
                  <c:v>1832.1278207098308</c:v>
                </c:pt>
                <c:pt idx="16">
                  <c:v>2010.8869315842762</c:v>
                </c:pt>
                <c:pt idx="17">
                  <c:v>2152.7995007459299</c:v>
                </c:pt>
                <c:pt idx="18">
                  <c:v>2225.3907599845634</c:v>
                </c:pt>
                <c:pt idx="19">
                  <c:v>2311.4440167178773</c:v>
                </c:pt>
                <c:pt idx="20">
                  <c:v>2435.7224233565289</c:v>
                </c:pt>
                <c:pt idx="21">
                  <c:v>2623.95076193261</c:v>
                </c:pt>
                <c:pt idx="22">
                  <c:v>2817.5573524415113</c:v>
                </c:pt>
                <c:pt idx="23">
                  <c:v>3012.2023395004762</c:v>
                </c:pt>
                <c:pt idx="24">
                  <c:v>3220.7448814532977</c:v>
                </c:pt>
                <c:pt idx="25">
                  <c:v>3435.4569976418684</c:v>
                </c:pt>
                <c:pt idx="26">
                  <c:v>3697.8246065549188</c:v>
                </c:pt>
                <c:pt idx="27">
                  <c:v>4015.328614603422</c:v>
                </c:pt>
                <c:pt idx="28">
                  <c:v>4254.2188478292301</c:v>
                </c:pt>
                <c:pt idx="29">
                  <c:v>4425.6600320088419</c:v>
                </c:pt>
                <c:pt idx="30">
                  <c:v>4471.9889044234988</c:v>
                </c:pt>
                <c:pt idx="31">
                  <c:v>4534.5642080604903</c:v>
                </c:pt>
                <c:pt idx="32">
                  <c:v>4656.8312205346156</c:v>
                </c:pt>
                <c:pt idx="33">
                  <c:v>4881.8513074713364</c:v>
                </c:pt>
                <c:pt idx="34">
                  <c:v>5120.3094364415956</c:v>
                </c:pt>
                <c:pt idx="35">
                  <c:v>5366.6772326209839</c:v>
                </c:pt>
                <c:pt idx="36">
                  <c:v>5643.2073651646297</c:v>
                </c:pt>
                <c:pt idx="37">
                  <c:v>5898.17200020782</c:v>
                </c:pt>
                <c:pt idx="38">
                  <c:v>6192.2592338488457</c:v>
                </c:pt>
                <c:pt idx="39">
                  <c:v>6538.2837455523077</c:v>
                </c:pt>
                <c:pt idx="40">
                  <c:v>6715.9645226052344</c:v>
                </c:pt>
                <c:pt idx="41">
                  <c:v>6747.6663493848828</c:v>
                </c:pt>
                <c:pt idx="42">
                  <c:v>6535.8119299993059</c:v>
                </c:pt>
                <c:pt idx="43">
                  <c:v>6222.9158184506559</c:v>
                </c:pt>
                <c:pt idx="44">
                  <c:v>5876.0768033363875</c:v>
                </c:pt>
                <c:pt idx="45">
                  <c:v>5524.7903286416467</c:v>
                </c:pt>
                <c:pt idx="46">
                  <c:v>5207.0926311383564</c:v>
                </c:pt>
                <c:pt idx="47">
                  <c:v>4939.8490730644016</c:v>
                </c:pt>
                <c:pt idx="48">
                  <c:v>4752.2684495658241</c:v>
                </c:pt>
                <c:pt idx="49">
                  <c:v>4585.9906799543487</c:v>
                </c:pt>
                <c:pt idx="50">
                  <c:v>4460.4115254861008</c:v>
                </c:pt>
                <c:pt idx="51">
                  <c:v>4378.20240986925</c:v>
                </c:pt>
                <c:pt idx="52">
                  <c:v>4240.836741716239</c:v>
                </c:pt>
                <c:pt idx="53">
                  <c:v>4062.1583619166017</c:v>
                </c:pt>
                <c:pt idx="54">
                  <c:v>3812.5240149243273</c:v>
                </c:pt>
                <c:pt idx="55">
                  <c:v>3531.9822970855262</c:v>
                </c:pt>
                <c:pt idx="56">
                  <c:v>3244.3951064026778</c:v>
                </c:pt>
                <c:pt idx="57">
                  <c:v>2959.4481901094418</c:v>
                </c:pt>
                <c:pt idx="58">
                  <c:v>2694.4972094496793</c:v>
                </c:pt>
                <c:pt idx="59">
                  <c:v>2457.466137202241</c:v>
                </c:pt>
                <c:pt idx="60">
                  <c:v>2259.1046134852782</c:v>
                </c:pt>
                <c:pt idx="61">
                  <c:v>2083.2744048885397</c:v>
                </c:pt>
                <c:pt idx="62">
                  <c:v>1937.6167770853383</c:v>
                </c:pt>
                <c:pt idx="63">
                  <c:v>1824.484212687247</c:v>
                </c:pt>
                <c:pt idx="64">
                  <c:v>1710.846016423071</c:v>
                </c:pt>
                <c:pt idx="65">
                  <c:v>1610.6434628260524</c:v>
                </c:pt>
                <c:pt idx="66">
                  <c:v>1525.3972440715056</c:v>
                </c:pt>
                <c:pt idx="67">
                  <c:v>1460.5951577832723</c:v>
                </c:pt>
                <c:pt idx="68">
                  <c:v>1423.4630484528207</c:v>
                </c:pt>
                <c:pt idx="69">
                  <c:v>1421.5824318014645</c:v>
                </c:pt>
                <c:pt idx="70">
                  <c:v>1425.2659974794424</c:v>
                </c:pt>
                <c:pt idx="71">
                  <c:v>1433.6235866680761</c:v>
                </c:pt>
                <c:pt idx="72">
                  <c:v>1451.4113264260291</c:v>
                </c:pt>
                <c:pt idx="73">
                  <c:v>1465.0460249541998</c:v>
                </c:pt>
                <c:pt idx="74">
                  <c:v>1487.7268095742697</c:v>
                </c:pt>
                <c:pt idx="75">
                  <c:v>1522.935584048804</c:v>
                </c:pt>
                <c:pt idx="76">
                  <c:v>1521.9180991271307</c:v>
                </c:pt>
                <c:pt idx="77">
                  <c:v>1493.0937329653009</c:v>
                </c:pt>
                <c:pt idx="78">
                  <c:v>1417.9949501232827</c:v>
                </c:pt>
                <c:pt idx="79">
                  <c:v>1316.0154353735327</c:v>
                </c:pt>
                <c:pt idx="80">
                  <c:v>1201.4365070951196</c:v>
                </c:pt>
                <c:pt idx="81">
                  <c:v>1077.6725912386519</c:v>
                </c:pt>
                <c:pt idx="82">
                  <c:v>962.09637938184437</c:v>
                </c:pt>
                <c:pt idx="83">
                  <c:v>860.17055845944617</c:v>
                </c:pt>
                <c:pt idx="84">
                  <c:v>777.98058823139559</c:v>
                </c:pt>
                <c:pt idx="85">
                  <c:v>704.22490057209382</c:v>
                </c:pt>
                <c:pt idx="86">
                  <c:v>638.03414408726462</c:v>
                </c:pt>
                <c:pt idx="87">
                  <c:v>578.78554595171988</c:v>
                </c:pt>
                <c:pt idx="88">
                  <c:v>521.50957636888847</c:v>
                </c:pt>
                <c:pt idx="89">
                  <c:v>467.6857067533054</c:v>
                </c:pt>
                <c:pt idx="90">
                  <c:v>419.03998708859433</c:v>
                </c:pt>
                <c:pt idx="91">
                  <c:v>372.36689597659671</c:v>
                </c:pt>
                <c:pt idx="92">
                  <c:v>327.41985484822317</c:v>
                </c:pt>
                <c:pt idx="93">
                  <c:v>283.95228513438445</c:v>
                </c:pt>
                <c:pt idx="94">
                  <c:v>242.65809390623775</c:v>
                </c:pt>
                <c:pt idx="95">
                  <c:v>203.97195686092141</c:v>
                </c:pt>
                <c:pt idx="96">
                  <c:v>167.89387399843531</c:v>
                </c:pt>
                <c:pt idx="97">
                  <c:v>134.42384531877957</c:v>
                </c:pt>
                <c:pt idx="98">
                  <c:v>103.56187082195413</c:v>
                </c:pt>
                <c:pt idx="99">
                  <c:v>75.742626205097395</c:v>
                </c:pt>
                <c:pt idx="100">
                  <c:v>51.40078716534773</c:v>
                </c:pt>
                <c:pt idx="101">
                  <c:v>33.144407885535479</c:v>
                </c:pt>
                <c:pt idx="102">
                  <c:v>24.016218245629357</c:v>
                </c:pt>
                <c:pt idx="103">
                  <c:v>18.36543418283032</c:v>
                </c:pt>
                <c:pt idx="104">
                  <c:v>15.757379999999998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DF-4BF7-AC21-C6FF980D9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82463"/>
        <c:axId val="794795568"/>
      </c:scatterChart>
      <c:valAx>
        <c:axId val="1009282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TIME</a:t>
                </a:r>
                <a:r>
                  <a:rPr lang="en-IN" baseline="0"/>
                  <a:t> (HOURS)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95568"/>
        <c:crosses val="autoZero"/>
        <c:crossBetween val="midCat"/>
      </c:valAx>
      <c:valAx>
        <c:axId val="79479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DISCHARGE (CUMEC)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8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107577</xdr:rowOff>
    </xdr:from>
    <xdr:to>
      <xdr:col>28</xdr:col>
      <xdr:colOff>331995</xdr:colOff>
      <xdr:row>136</xdr:row>
      <xdr:rowOff>143436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011EF4-96BD-4367-9E7A-DF43CA658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148</xdr:row>
      <xdr:rowOff>0</xdr:rowOff>
    </xdr:from>
    <xdr:to>
      <xdr:col>15</xdr:col>
      <xdr:colOff>263237</xdr:colOff>
      <xdr:row>188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9258F2-06FF-46E5-95F0-FC81B0A5D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13854</xdr:colOff>
      <xdr:row>47</xdr:row>
      <xdr:rowOff>138546</xdr:rowOff>
    </xdr:from>
    <xdr:to>
      <xdr:col>9</xdr:col>
      <xdr:colOff>69272</xdr:colOff>
      <xdr:row>50</xdr:row>
      <xdr:rowOff>55418</xdr:rowOff>
    </xdr:to>
    <xdr:sp macro="[0]!The24hrs_GenerateCombinations" textlink="">
      <xdr:nvSpPr>
        <xdr:cNvPr id="3" name="Rectangle 2">
          <a:extLst>
            <a:ext uri="{FF2B5EF4-FFF2-40B4-BE49-F238E27FC236}">
              <a16:creationId xmlns:a16="http://schemas.microsoft.com/office/drawing/2014/main" id="{198928EC-513A-C96B-7CD0-51C564FDFC1A}"/>
            </a:ext>
          </a:extLst>
        </xdr:cNvPr>
        <xdr:cNvSpPr/>
      </xdr:nvSpPr>
      <xdr:spPr>
        <a:xfrm>
          <a:off x="8007927" y="9393382"/>
          <a:ext cx="1094509" cy="457200"/>
        </a:xfrm>
        <a:prstGeom prst="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RUN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48</xdr:row>
      <xdr:rowOff>84364</xdr:rowOff>
    </xdr:from>
    <xdr:to>
      <xdr:col>10</xdr:col>
      <xdr:colOff>144236</xdr:colOff>
      <xdr:row>50</xdr:row>
      <xdr:rowOff>70757</xdr:rowOff>
    </xdr:to>
    <xdr:sp macro="[0]!The48hrs_OptimizeBlockOrder_Final" textlink="">
      <xdr:nvSpPr>
        <xdr:cNvPr id="2" name="Rectangle 1">
          <a:extLst>
            <a:ext uri="{FF2B5EF4-FFF2-40B4-BE49-F238E27FC236}">
              <a16:creationId xmlns:a16="http://schemas.microsoft.com/office/drawing/2014/main" id="{3D230B08-8585-B4DD-1527-EAD9DC97CD2D}"/>
            </a:ext>
          </a:extLst>
        </xdr:cNvPr>
        <xdr:cNvSpPr/>
      </xdr:nvSpPr>
      <xdr:spPr>
        <a:xfrm>
          <a:off x="7391400" y="10523764"/>
          <a:ext cx="1039586" cy="538843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RUN</a:t>
          </a:r>
        </a:p>
      </xdr:txBody>
    </xdr:sp>
    <xdr:clientData/>
  </xdr:twoCellAnchor>
  <xdr:twoCellAnchor>
    <xdr:from>
      <xdr:col>0</xdr:col>
      <xdr:colOff>0</xdr:colOff>
      <xdr:row>170</xdr:row>
      <xdr:rowOff>0</xdr:rowOff>
    </xdr:from>
    <xdr:to>
      <xdr:col>17</xdr:col>
      <xdr:colOff>207819</xdr:colOff>
      <xdr:row>210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AA714F-07E7-4EC9-AAD4-77CD8427A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48</xdr:row>
      <xdr:rowOff>133350</xdr:rowOff>
    </xdr:from>
    <xdr:to>
      <xdr:col>14</xdr:col>
      <xdr:colOff>1257300</xdr:colOff>
      <xdr:row>50</xdr:row>
      <xdr:rowOff>76200</xdr:rowOff>
    </xdr:to>
    <xdr:sp macro="[0]!The72hrBlockOrder_Final" textlink="">
      <xdr:nvSpPr>
        <xdr:cNvPr id="3" name="Rectangle 2">
          <a:extLst>
            <a:ext uri="{FF2B5EF4-FFF2-40B4-BE49-F238E27FC236}">
              <a16:creationId xmlns:a16="http://schemas.microsoft.com/office/drawing/2014/main" id="{10D9BF4F-7342-6BBE-2DD6-7658CC4B4180}"/>
            </a:ext>
          </a:extLst>
        </xdr:cNvPr>
        <xdr:cNvSpPr/>
      </xdr:nvSpPr>
      <xdr:spPr>
        <a:xfrm>
          <a:off x="14116050" y="10020300"/>
          <a:ext cx="1104900" cy="3238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/>
            <a:t>RUN</a:t>
          </a:r>
        </a:p>
      </xdr:txBody>
    </xdr:sp>
    <xdr:clientData/>
  </xdr:twoCellAnchor>
  <xdr:twoCellAnchor>
    <xdr:from>
      <xdr:col>1</xdr:col>
      <xdr:colOff>96980</xdr:colOff>
      <xdr:row>195</xdr:row>
      <xdr:rowOff>27710</xdr:rowOff>
    </xdr:from>
    <xdr:to>
      <xdr:col>36</xdr:col>
      <xdr:colOff>152400</xdr:colOff>
      <xdr:row>267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486CBE-EA0B-4732-90E7-6AAC162C6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49</xdr:row>
      <xdr:rowOff>0</xdr:rowOff>
    </xdr:from>
    <xdr:to>
      <xdr:col>16</xdr:col>
      <xdr:colOff>244720</xdr:colOff>
      <xdr:row>71</xdr:row>
      <xdr:rowOff>99417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F6C0B1-7A92-CF75-5BDA-F9CFEF026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936480"/>
          <a:ext cx="10150720" cy="41227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floodrix-my.sharepoint.com/personal/purushottam_floodrix_com/Documents/Working%20FPL/Projects/P.052025_Rajghat%20Dam/02_Working/Discharge%20Estimation/SUH/Design%20Flood%20by%20UH%20-%20S9.xlsm" TargetMode="External"/><Relationship Id="rId1" Type="http://schemas.openxmlformats.org/officeDocument/2006/relationships/externalLinkPath" Target="/personal/purushottam_floodrix_com/Documents/Working%20FPL/Projects/P.052025_Rajghat%20Dam/02_Working/Discharge%20Estimation/SUH%20JR/SUH/Design%20Flood%20by%20UH%20-%20S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ble231 (Page 292)"/>
      <sheetName val="Equivalent Stream Slope-S9"/>
      <sheetName val="Physiographic Parameter"/>
      <sheetName val="Annexure 2 (a) - SUH Method"/>
      <sheetName val="UNIT HYDROGRAPH"/>
      <sheetName val="25 Year Return Flood "/>
      <sheetName val="100 Year Return Flood"/>
      <sheetName val="PMF of Catchment 77"/>
      <sheetName val="Refrences"/>
      <sheetName val="Sheet1"/>
      <sheetName val="25 Year Return Flood (DPR)"/>
      <sheetName val="100 Year Return Flood (DPR)"/>
      <sheetName val="Design Flood SPF (DPR)"/>
    </sheetNames>
    <sheetDataSet>
      <sheetData sheetId="0"/>
      <sheetData sheetId="1"/>
      <sheetData sheetId="2"/>
      <sheetData sheetId="3">
        <row r="76">
          <cell r="B76">
            <v>0</v>
          </cell>
          <cell r="C76">
            <v>0</v>
          </cell>
        </row>
        <row r="77">
          <cell r="B77">
            <v>9</v>
          </cell>
          <cell r="C77">
            <v>94</v>
          </cell>
        </row>
        <row r="78">
          <cell r="B78">
            <v>11</v>
          </cell>
          <cell r="C78">
            <v>141</v>
          </cell>
        </row>
        <row r="79">
          <cell r="B79">
            <v>14</v>
          </cell>
          <cell r="C79">
            <v>188</v>
          </cell>
        </row>
        <row r="80">
          <cell r="B80">
            <v>19</v>
          </cell>
          <cell r="C80">
            <v>141</v>
          </cell>
        </row>
        <row r="81">
          <cell r="B81">
            <v>24</v>
          </cell>
          <cell r="C81">
            <v>94</v>
          </cell>
        </row>
        <row r="82">
          <cell r="B82">
            <v>48</v>
          </cell>
          <cell r="C82">
            <v>0</v>
          </cell>
        </row>
      </sheetData>
      <sheetData sheetId="4">
        <row r="19">
          <cell r="B19">
            <v>16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634D5-BFE1-43F0-9D23-8A0FC3EE5344}">
  <sheetPr codeName="Sheet7"/>
  <dimension ref="A1:AH164"/>
  <sheetViews>
    <sheetView tabSelected="1" view="pageBreakPreview" topLeftCell="T85" zoomScale="85" zoomScaleNormal="90" zoomScaleSheetLayoutView="85" workbookViewId="0">
      <selection activeCell="U78" sqref="U78:V112"/>
    </sheetView>
  </sheetViews>
  <sheetFormatPr defaultRowHeight="14.4"/>
  <cols>
    <col min="1" max="1" width="8.88671875" hidden="1" customWidth="1"/>
    <col min="2" max="2" width="10.77734375" hidden="1" customWidth="1"/>
    <col min="3" max="5" width="9.33203125" hidden="1" customWidth="1"/>
    <col min="6" max="6" width="9.5546875" hidden="1" customWidth="1"/>
    <col min="7" max="8" width="8.88671875" hidden="1" customWidth="1"/>
    <col min="9" max="12" width="9.33203125" hidden="1" customWidth="1"/>
    <col min="13" max="18" width="8.88671875" hidden="1" customWidth="1"/>
    <col min="19" max="19" width="4.6640625" hidden="1" customWidth="1"/>
    <col min="20" max="20" width="15.21875" customWidth="1"/>
    <col min="21" max="21" width="16" customWidth="1"/>
    <col min="22" max="22" width="18.5546875" customWidth="1"/>
    <col min="23" max="23" width="20.33203125" customWidth="1"/>
    <col min="24" max="24" width="16.109375" customWidth="1"/>
    <col min="25" max="25" width="12.21875" customWidth="1"/>
    <col min="26" max="26" width="10.5546875" customWidth="1"/>
  </cols>
  <sheetData>
    <row r="1" spans="1:33" ht="14.4" customHeight="1">
      <c r="T1" s="136" t="s">
        <v>0</v>
      </c>
      <c r="U1" s="136"/>
      <c r="V1" s="136"/>
      <c r="W1" s="136"/>
      <c r="X1" s="136"/>
      <c r="Y1" s="136"/>
      <c r="Z1" s="136"/>
      <c r="AA1" s="136"/>
      <c r="AB1" s="136"/>
      <c r="AC1" s="136"/>
      <c r="AD1" s="100"/>
      <c r="AE1" s="100"/>
      <c r="AF1" s="100"/>
      <c r="AG1" s="100"/>
    </row>
    <row r="2" spans="1:33" ht="14.4" customHeight="1">
      <c r="A2" s="17">
        <v>1</v>
      </c>
      <c r="B2" s="17">
        <v>2</v>
      </c>
      <c r="C2" s="17">
        <v>3</v>
      </c>
      <c r="D2" s="17">
        <v>4</v>
      </c>
      <c r="E2" s="17">
        <v>5</v>
      </c>
      <c r="F2" s="17">
        <v>6</v>
      </c>
      <c r="G2" s="17">
        <v>7</v>
      </c>
      <c r="H2" s="17">
        <v>8</v>
      </c>
      <c r="I2" s="17">
        <v>9</v>
      </c>
      <c r="J2" s="17">
        <v>10</v>
      </c>
      <c r="K2" s="17">
        <v>11</v>
      </c>
      <c r="L2" s="17">
        <v>12</v>
      </c>
      <c r="M2" s="17">
        <v>13</v>
      </c>
      <c r="N2" s="17">
        <v>14</v>
      </c>
      <c r="O2" s="17">
        <v>15</v>
      </c>
      <c r="P2" s="17">
        <v>9</v>
      </c>
      <c r="Q2" s="17">
        <v>10</v>
      </c>
      <c r="R2" s="17">
        <v>11</v>
      </c>
      <c r="S2" s="17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00"/>
      <c r="AE2" s="100"/>
      <c r="AF2" s="100"/>
      <c r="AG2" s="100"/>
    </row>
    <row r="3" spans="1:33" ht="21" customHeight="1">
      <c r="A3" s="18" t="s">
        <v>43</v>
      </c>
      <c r="B3" s="18" t="s">
        <v>60</v>
      </c>
      <c r="C3" s="18" t="s">
        <v>61</v>
      </c>
      <c r="D3" s="18" t="s">
        <v>62</v>
      </c>
      <c r="E3" s="18" t="s">
        <v>63</v>
      </c>
      <c r="F3" s="18" t="s">
        <v>64</v>
      </c>
      <c r="G3" s="18" t="s">
        <v>65</v>
      </c>
      <c r="H3" s="18" t="s">
        <v>66</v>
      </c>
      <c r="I3" s="18" t="s">
        <v>60</v>
      </c>
      <c r="J3" s="18" t="s">
        <v>61</v>
      </c>
      <c r="K3" s="18" t="s">
        <v>62</v>
      </c>
      <c r="L3" s="18" t="s">
        <v>63</v>
      </c>
      <c r="M3" s="18" t="s">
        <v>64</v>
      </c>
      <c r="N3" s="18" t="s">
        <v>65</v>
      </c>
      <c r="O3" s="18" t="s">
        <v>66</v>
      </c>
      <c r="P3" s="139" t="s">
        <v>44</v>
      </c>
      <c r="Q3" s="140"/>
      <c r="R3" s="19" t="s">
        <v>45</v>
      </c>
      <c r="S3" s="27"/>
    </row>
    <row r="4" spans="1:33">
      <c r="A4" s="18"/>
      <c r="B4" s="20" t="s">
        <v>46</v>
      </c>
      <c r="C4" s="20" t="s">
        <v>46</v>
      </c>
      <c r="D4" s="20" t="s">
        <v>46</v>
      </c>
      <c r="E4" s="20" t="s">
        <v>46</v>
      </c>
      <c r="F4" s="20" t="s">
        <v>46</v>
      </c>
      <c r="G4" s="20" t="s">
        <v>46</v>
      </c>
      <c r="H4" s="20" t="s">
        <v>46</v>
      </c>
      <c r="I4" s="20" t="s">
        <v>47</v>
      </c>
      <c r="J4" s="20" t="s">
        <v>47</v>
      </c>
      <c r="K4" s="20" t="s">
        <v>47</v>
      </c>
      <c r="L4" s="20" t="s">
        <v>47</v>
      </c>
      <c r="M4" s="20" t="s">
        <v>47</v>
      </c>
      <c r="N4" s="20" t="s">
        <v>47</v>
      </c>
      <c r="O4" s="20" t="s">
        <v>47</v>
      </c>
      <c r="P4" s="20" t="s">
        <v>46</v>
      </c>
      <c r="Q4" s="20" t="s">
        <v>47</v>
      </c>
      <c r="R4" s="21"/>
      <c r="S4" s="23"/>
      <c r="T4" s="95" t="s">
        <v>1</v>
      </c>
      <c r="U4" s="96" t="s">
        <v>54</v>
      </c>
      <c r="V4" s="29"/>
      <c r="W4" s="29"/>
      <c r="X4" s="101" t="s">
        <v>70</v>
      </c>
      <c r="Y4" s="101" t="s">
        <v>68</v>
      </c>
    </row>
    <row r="5" spans="1:33">
      <c r="A5" s="18" t="s">
        <v>48</v>
      </c>
      <c r="B5" s="22">
        <v>0.433</v>
      </c>
      <c r="C5" s="22">
        <v>1.161</v>
      </c>
      <c r="D5" s="22">
        <v>8.375</v>
      </c>
      <c r="E5" s="22">
        <v>2.2839999999999998</v>
      </c>
      <c r="F5" s="22">
        <v>1.331</v>
      </c>
      <c r="G5" s="22">
        <v>0.82699999999999996</v>
      </c>
      <c r="H5" s="22">
        <v>0.56100000000000005</v>
      </c>
      <c r="I5" s="22">
        <v>0.70399999999999996</v>
      </c>
      <c r="J5" s="22">
        <v>0.63500000000000001</v>
      </c>
      <c r="K5" s="22">
        <v>0.51200000000000001</v>
      </c>
      <c r="L5" s="22">
        <v>1</v>
      </c>
      <c r="M5" s="22">
        <v>0.99099999999999999</v>
      </c>
      <c r="N5" s="22">
        <v>1.0229999999999999</v>
      </c>
      <c r="O5" s="22">
        <v>1.0369999999999999</v>
      </c>
      <c r="P5" s="22">
        <v>0.109</v>
      </c>
      <c r="Q5" s="22">
        <v>0.126</v>
      </c>
      <c r="R5" s="22">
        <v>0.45</v>
      </c>
      <c r="S5" s="24"/>
      <c r="T5" s="95" t="s">
        <v>2</v>
      </c>
      <c r="U5" s="96" t="s">
        <v>67</v>
      </c>
      <c r="V5" s="29"/>
      <c r="W5" s="29"/>
      <c r="X5" s="101" t="s">
        <v>3</v>
      </c>
      <c r="Y5" s="101" t="s">
        <v>69</v>
      </c>
    </row>
    <row r="6" spans="1:33">
      <c r="A6" s="18" t="s">
        <v>49</v>
      </c>
      <c r="B6" s="22">
        <v>0.52300000000000002</v>
      </c>
      <c r="C6" s="22">
        <v>1.915</v>
      </c>
      <c r="D6" s="22">
        <v>6.9080000000000004</v>
      </c>
      <c r="E6" s="22">
        <v>1.83</v>
      </c>
      <c r="F6" s="22">
        <v>0.92400000000000004</v>
      </c>
      <c r="G6" s="22">
        <v>0.745</v>
      </c>
      <c r="H6" s="22">
        <v>0.434</v>
      </c>
      <c r="I6" s="22">
        <v>0.32300000000000001</v>
      </c>
      <c r="J6" s="22">
        <v>-0.78</v>
      </c>
      <c r="K6" s="22">
        <v>0.59199999999999997</v>
      </c>
      <c r="L6" s="22">
        <v>-0.97</v>
      </c>
      <c r="M6" s="22">
        <v>-0.79200000000000004</v>
      </c>
      <c r="N6" s="22">
        <v>-0.72499999999999998</v>
      </c>
      <c r="O6" s="22">
        <v>-0.61599999999999999</v>
      </c>
      <c r="P6" s="22">
        <v>0.06</v>
      </c>
      <c r="Q6" s="22"/>
      <c r="R6" s="22">
        <v>0.5</v>
      </c>
      <c r="S6" s="24"/>
      <c r="T6" s="95" t="s">
        <v>71</v>
      </c>
      <c r="U6" s="96" t="s">
        <v>195</v>
      </c>
      <c r="X6" s="95"/>
    </row>
    <row r="7" spans="1:33">
      <c r="A7" s="18" t="s">
        <v>50</v>
      </c>
      <c r="B7" s="22">
        <v>0.85399999999999998</v>
      </c>
      <c r="C7" s="22">
        <v>2.0089999999999999</v>
      </c>
      <c r="D7" s="22">
        <v>4.84</v>
      </c>
      <c r="E7" s="22">
        <v>2.2589999999999999</v>
      </c>
      <c r="F7" s="22">
        <v>1.5189999999999999</v>
      </c>
      <c r="G7" s="22">
        <v>0.84399999999999997</v>
      </c>
      <c r="H7" s="22">
        <v>0.58299999999999996</v>
      </c>
      <c r="I7" s="22">
        <v>0.28000000000000003</v>
      </c>
      <c r="J7" s="22">
        <v>-0.85</v>
      </c>
      <c r="K7" s="22">
        <v>0.74</v>
      </c>
      <c r="L7" s="22">
        <v>-1.08</v>
      </c>
      <c r="M7" s="22">
        <v>-0.99</v>
      </c>
      <c r="N7" s="22">
        <v>-1.24</v>
      </c>
      <c r="O7" s="22">
        <v>-1.19</v>
      </c>
      <c r="P7" s="22">
        <v>0.05</v>
      </c>
      <c r="Q7" s="22"/>
      <c r="R7" s="22">
        <v>0.3</v>
      </c>
      <c r="S7" s="24"/>
      <c r="T7" s="1"/>
      <c r="U7" s="1"/>
      <c r="V7" s="1"/>
      <c r="W7" s="1"/>
      <c r="X7" s="1"/>
    </row>
    <row r="8" spans="1:33">
      <c r="A8" s="18" t="s">
        <v>51</v>
      </c>
      <c r="B8" s="22">
        <v>0.72699999999999998</v>
      </c>
      <c r="C8" s="22">
        <v>2.02</v>
      </c>
      <c r="D8" s="22">
        <v>5.4850000000000003</v>
      </c>
      <c r="E8" s="22">
        <v>2.2280000000000002</v>
      </c>
      <c r="F8" s="22">
        <v>1.3009999999999999</v>
      </c>
      <c r="G8" s="22">
        <v>0.88</v>
      </c>
      <c r="H8" s="22">
        <v>0.54</v>
      </c>
      <c r="I8" s="22">
        <v>0.59</v>
      </c>
      <c r="J8" s="22">
        <v>0.88</v>
      </c>
      <c r="K8" s="22">
        <v>0.73</v>
      </c>
      <c r="L8" s="22">
        <v>1.04</v>
      </c>
      <c r="M8" s="22">
        <v>0.96</v>
      </c>
      <c r="N8" s="22">
        <v>1.01</v>
      </c>
      <c r="O8" s="22">
        <v>0.96</v>
      </c>
      <c r="P8" s="22">
        <v>0.122</v>
      </c>
      <c r="Q8" s="22">
        <v>0.30399999999999999</v>
      </c>
      <c r="R8" s="22">
        <v>0.5</v>
      </c>
      <c r="S8" s="24"/>
      <c r="T8" s="1"/>
      <c r="U8" s="1"/>
      <c r="V8" s="1"/>
      <c r="W8" s="1"/>
      <c r="X8" s="1"/>
      <c r="Y8" s="1"/>
      <c r="Z8" s="1"/>
    </row>
    <row r="9" spans="1:33" ht="15.6">
      <c r="A9" s="18" t="s">
        <v>52</v>
      </c>
      <c r="B9" s="22">
        <v>2.1640000000000001</v>
      </c>
      <c r="C9" s="22">
        <v>2.2719999999999998</v>
      </c>
      <c r="D9" s="22">
        <v>5.4279999999999999</v>
      </c>
      <c r="E9" s="22">
        <v>2.0840000000000001</v>
      </c>
      <c r="F9" s="22">
        <v>1.028</v>
      </c>
      <c r="G9" s="22">
        <v>0.85599999999999998</v>
      </c>
      <c r="H9" s="22">
        <v>0.44</v>
      </c>
      <c r="I9" s="22">
        <v>-0.94</v>
      </c>
      <c r="J9" s="22">
        <v>-0.40899999999999997</v>
      </c>
      <c r="K9" s="22">
        <v>0.85199999999999998</v>
      </c>
      <c r="L9" s="22">
        <v>-1.0649999999999999</v>
      </c>
      <c r="M9" s="22">
        <v>-1.071</v>
      </c>
      <c r="N9" s="22">
        <v>-0.86499999999999999</v>
      </c>
      <c r="O9" s="22">
        <v>-0.91800000000000004</v>
      </c>
      <c r="P9" s="22">
        <v>0.05</v>
      </c>
      <c r="Q9" s="22"/>
      <c r="R9" s="22">
        <v>0.24</v>
      </c>
      <c r="S9" s="24"/>
      <c r="T9" s="64" t="s">
        <v>8</v>
      </c>
      <c r="U9" s="64"/>
      <c r="V9" s="65"/>
      <c r="W9" s="65"/>
      <c r="X9" s="65"/>
      <c r="Y9" s="65"/>
      <c r="Z9" s="65"/>
      <c r="AA9" s="66"/>
      <c r="AB9" s="66"/>
      <c r="AC9" s="66"/>
      <c r="AD9" s="66"/>
      <c r="AE9" s="66"/>
      <c r="AF9" s="66"/>
      <c r="AG9" s="66"/>
    </row>
    <row r="10" spans="1:33">
      <c r="A10" s="18" t="s">
        <v>53</v>
      </c>
      <c r="B10" s="22">
        <v>1.5607</v>
      </c>
      <c r="C10" s="22">
        <v>0.91779999999999995</v>
      </c>
      <c r="D10" s="22">
        <v>7.38</v>
      </c>
      <c r="E10" s="22">
        <v>1.925</v>
      </c>
      <c r="F10" s="22">
        <v>1.0189999999999999</v>
      </c>
      <c r="G10" s="22">
        <v>0.57899999999999996</v>
      </c>
      <c r="H10" s="22">
        <v>0.34699999999999998</v>
      </c>
      <c r="I10" s="22">
        <v>-1.0813999999999999</v>
      </c>
      <c r="J10" s="22">
        <v>-0.43130000000000002</v>
      </c>
      <c r="K10" s="22">
        <v>0.73399999999999999</v>
      </c>
      <c r="L10" s="22">
        <v>-1.0900000000000001</v>
      </c>
      <c r="M10" s="22">
        <v>-1.044</v>
      </c>
      <c r="N10" s="22">
        <v>-1.107</v>
      </c>
      <c r="O10" s="22">
        <v>-1.054</v>
      </c>
      <c r="P10" s="22">
        <v>0.15</v>
      </c>
      <c r="Q10" s="22"/>
      <c r="R10" s="22">
        <v>0.19</v>
      </c>
      <c r="S10" s="24"/>
      <c r="T10" s="1"/>
      <c r="U10" s="1"/>
      <c r="V10" s="1"/>
      <c r="W10" s="1"/>
      <c r="X10" s="1"/>
      <c r="Y10" s="1"/>
      <c r="Z10" s="1"/>
    </row>
    <row r="11" spans="1:33">
      <c r="A11" s="18">
        <v>7</v>
      </c>
      <c r="B11" s="22">
        <v>2.4980000000000002</v>
      </c>
      <c r="C11" s="22">
        <v>1.048</v>
      </c>
      <c r="D11" s="22">
        <v>7.8449999999999998</v>
      </c>
      <c r="E11" s="22">
        <v>1.954</v>
      </c>
      <c r="F11" s="22">
        <v>0.97199999999999998</v>
      </c>
      <c r="G11" s="22">
        <v>0.189</v>
      </c>
      <c r="H11" s="22">
        <v>0.41899999999999998</v>
      </c>
      <c r="I11" s="22">
        <v>0.156</v>
      </c>
      <c r="J11" s="22">
        <v>-0.17799999999999999</v>
      </c>
      <c r="K11" s="22">
        <v>0.45300000000000001</v>
      </c>
      <c r="L11" s="22">
        <v>9.9000000000000005E-2</v>
      </c>
      <c r="M11" s="22">
        <v>0.124</v>
      </c>
      <c r="N11" s="22">
        <v>1.7689999999999999</v>
      </c>
      <c r="O11" s="22">
        <v>1.246</v>
      </c>
      <c r="P11" s="22">
        <v>0.05</v>
      </c>
      <c r="Q11" s="22"/>
      <c r="R11" s="22">
        <v>0.25</v>
      </c>
      <c r="S11" s="24"/>
      <c r="T11" s="1" t="s">
        <v>972</v>
      </c>
      <c r="U11" s="1"/>
      <c r="V11" s="1"/>
      <c r="W11" s="1"/>
      <c r="X11" s="1"/>
      <c r="Y11" s="1">
        <v>875.41</v>
      </c>
      <c r="Z11" s="1" t="s">
        <v>4</v>
      </c>
    </row>
    <row r="12" spans="1:33">
      <c r="A12" s="18" t="s">
        <v>54</v>
      </c>
      <c r="B12" s="22">
        <v>2.1949999999999998</v>
      </c>
      <c r="C12" s="22">
        <v>1.331</v>
      </c>
      <c r="D12" s="22">
        <v>3.9169999999999998</v>
      </c>
      <c r="E12" s="22">
        <v>2.04</v>
      </c>
      <c r="F12" s="22">
        <v>1.25</v>
      </c>
      <c r="G12" s="22">
        <v>0.73899999999999999</v>
      </c>
      <c r="H12" s="22">
        <v>0.5</v>
      </c>
      <c r="I12" s="22">
        <v>-0.94399999999999995</v>
      </c>
      <c r="J12" s="22">
        <v>-0.49199999999999999</v>
      </c>
      <c r="K12" s="22">
        <v>0.99</v>
      </c>
      <c r="L12" s="22">
        <v>-1.026</v>
      </c>
      <c r="M12" s="22">
        <v>-0.86399999999999999</v>
      </c>
      <c r="N12" s="22">
        <v>-0.96799999999999997</v>
      </c>
      <c r="O12" s="22">
        <v>-0.81299999999999994</v>
      </c>
      <c r="P12" s="22">
        <v>1.7999999999999999E-2</v>
      </c>
      <c r="Q12" s="22"/>
      <c r="R12" s="22">
        <v>0.23</v>
      </c>
      <c r="S12" s="24"/>
      <c r="T12" s="1" t="s">
        <v>5</v>
      </c>
      <c r="U12" s="1"/>
      <c r="V12" s="1"/>
      <c r="W12" s="1"/>
      <c r="X12" s="1"/>
      <c r="Y12" s="97">
        <v>79.366730000000004</v>
      </c>
      <c r="Z12" s="1" t="s">
        <v>6</v>
      </c>
    </row>
    <row r="13" spans="1:33" hidden="1">
      <c r="A13" s="18" t="s">
        <v>55</v>
      </c>
      <c r="B13" s="22">
        <v>1.7569999999999999</v>
      </c>
      <c r="C13" s="22">
        <v>1.26</v>
      </c>
      <c r="D13" s="22">
        <v>5.4109999999999996</v>
      </c>
      <c r="E13" s="22">
        <v>1.974</v>
      </c>
      <c r="F13" s="22">
        <v>0.96099999999999997</v>
      </c>
      <c r="G13" s="22">
        <v>1.1499999999999999</v>
      </c>
      <c r="H13" s="22">
        <v>0.52700000000000002</v>
      </c>
      <c r="I13" s="22">
        <v>0.26100000000000001</v>
      </c>
      <c r="J13" s="22">
        <v>-0.72499999999999998</v>
      </c>
      <c r="K13" s="22">
        <v>0.82599999999999996</v>
      </c>
      <c r="L13" s="22">
        <v>-1.1040000000000001</v>
      </c>
      <c r="M13" s="22">
        <v>-1.125</v>
      </c>
      <c r="N13" s="22">
        <v>-0.82899999999999996</v>
      </c>
      <c r="O13" s="22">
        <v>-0.93200000000000005</v>
      </c>
      <c r="P13" s="22">
        <v>0.1</v>
      </c>
      <c r="Q13" s="22"/>
      <c r="R13" s="22"/>
      <c r="S13" s="24"/>
      <c r="T13" s="1" t="s">
        <v>7</v>
      </c>
      <c r="U13" s="1"/>
      <c r="V13" s="1"/>
      <c r="W13" s="1"/>
      <c r="X13" s="1"/>
      <c r="Y13" s="1">
        <v>76.043999999999997</v>
      </c>
      <c r="Z13" s="1" t="s">
        <v>6</v>
      </c>
    </row>
    <row r="14" spans="1:33">
      <c r="A14" s="18" t="s">
        <v>56</v>
      </c>
      <c r="B14" s="22">
        <v>0.34799999999999998</v>
      </c>
      <c r="C14" s="22">
        <v>1.8420000000000001</v>
      </c>
      <c r="D14" s="22">
        <v>4.5890000000000004</v>
      </c>
      <c r="E14" s="22">
        <v>2.3530000000000002</v>
      </c>
      <c r="F14" s="22">
        <v>1.351</v>
      </c>
      <c r="G14" s="22">
        <v>0.93600000000000005</v>
      </c>
      <c r="H14" s="22">
        <v>0.57899999999999996</v>
      </c>
      <c r="I14" s="22">
        <v>0.45400000000000001</v>
      </c>
      <c r="J14" s="22">
        <v>-0.80400000000000005</v>
      </c>
      <c r="K14" s="22">
        <v>0.89400000000000002</v>
      </c>
      <c r="L14" s="22">
        <v>-1.0049999999999999</v>
      </c>
      <c r="M14" s="22">
        <v>-0.99199999999999999</v>
      </c>
      <c r="N14" s="22">
        <v>-1.0469999999999999</v>
      </c>
      <c r="O14" s="22">
        <v>-1.004</v>
      </c>
      <c r="P14" s="22">
        <v>0.05</v>
      </c>
      <c r="Q14" s="22"/>
      <c r="R14" s="22">
        <v>0.2</v>
      </c>
      <c r="S14" s="24"/>
      <c r="T14" s="1" t="s">
        <v>167</v>
      </c>
      <c r="U14" s="1"/>
      <c r="V14" s="1"/>
      <c r="W14" s="1"/>
      <c r="X14" s="1"/>
      <c r="Y14" s="1">
        <v>0.23</v>
      </c>
      <c r="Z14" s="1" t="s">
        <v>170</v>
      </c>
    </row>
    <row r="15" spans="1:33">
      <c r="A15" s="18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4"/>
      <c r="T15" s="1" t="s">
        <v>168</v>
      </c>
      <c r="U15" s="1"/>
      <c r="V15" s="1"/>
      <c r="W15" s="1"/>
      <c r="X15" s="1"/>
      <c r="Y15" s="1">
        <v>1.7999999999999999E-2</v>
      </c>
      <c r="Z15" s="1" t="s">
        <v>169</v>
      </c>
    </row>
    <row r="16" spans="1:33">
      <c r="A16" s="18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4"/>
      <c r="T16" s="1"/>
      <c r="U16" s="1"/>
      <c r="V16" s="1"/>
      <c r="W16" s="1"/>
      <c r="X16" s="1"/>
      <c r="Y16" s="1"/>
      <c r="Z16" s="1"/>
    </row>
    <row r="17" spans="1:34">
      <c r="A17" s="18" t="s">
        <v>57</v>
      </c>
      <c r="B17" s="22">
        <v>0.33900000000000002</v>
      </c>
      <c r="C17" s="22">
        <v>1.2509999999999999</v>
      </c>
      <c r="D17" s="22">
        <v>6.6619999999999999</v>
      </c>
      <c r="E17" s="22">
        <v>2.2149999999999999</v>
      </c>
      <c r="F17" s="22">
        <v>1.19</v>
      </c>
      <c r="G17" s="22">
        <v>0.83399999999999996</v>
      </c>
      <c r="H17" s="22">
        <v>0.502</v>
      </c>
      <c r="I17" s="22">
        <v>0.82599999999999996</v>
      </c>
      <c r="J17" s="22">
        <v>-0.61</v>
      </c>
      <c r="K17" s="22">
        <v>0.61299999999999999</v>
      </c>
      <c r="L17" s="22">
        <v>-1.034</v>
      </c>
      <c r="M17" s="22">
        <v>-1.0569999999999999</v>
      </c>
      <c r="N17" s="22">
        <v>-1.077</v>
      </c>
      <c r="O17" s="22">
        <v>-1.0649999999999999</v>
      </c>
      <c r="P17" s="22">
        <v>0.20699999999999999</v>
      </c>
      <c r="Q17" s="22">
        <v>-0.28999999999999998</v>
      </c>
      <c r="R17" s="22">
        <v>0.17</v>
      </c>
      <c r="S17" s="28"/>
      <c r="T17" s="2" t="s">
        <v>9</v>
      </c>
      <c r="U17" s="2"/>
      <c r="V17" s="2"/>
      <c r="W17" s="2"/>
      <c r="X17" s="2"/>
      <c r="Y17" s="2"/>
      <c r="Z17" s="2"/>
    </row>
    <row r="18" spans="1:34" ht="28.8">
      <c r="A18" s="18" t="s">
        <v>58</v>
      </c>
      <c r="B18" s="22">
        <v>0.55300000000000005</v>
      </c>
      <c r="C18" s="22">
        <v>2.0430000000000001</v>
      </c>
      <c r="D18" s="22">
        <v>5.0830000000000002</v>
      </c>
      <c r="E18" s="22">
        <v>2.1970000000000001</v>
      </c>
      <c r="F18" s="22">
        <v>1.325</v>
      </c>
      <c r="G18" s="22">
        <v>0.79900000000000004</v>
      </c>
      <c r="H18" s="22">
        <v>0.53600000000000003</v>
      </c>
      <c r="I18" s="22">
        <v>0.40500000000000003</v>
      </c>
      <c r="J18" s="22">
        <v>0.872</v>
      </c>
      <c r="K18" s="22">
        <v>0.73299999999999998</v>
      </c>
      <c r="L18" s="22">
        <v>1.0669999999999999</v>
      </c>
      <c r="M18" s="22">
        <v>1.0880000000000001</v>
      </c>
      <c r="N18" s="22">
        <v>1.1379999999999999</v>
      </c>
      <c r="O18" s="22">
        <v>1.109</v>
      </c>
      <c r="P18" s="22">
        <v>0.05</v>
      </c>
      <c r="Q18" s="22"/>
      <c r="R18" s="22">
        <v>0.5</v>
      </c>
      <c r="S18" s="22"/>
      <c r="T18" s="3" t="s">
        <v>10</v>
      </c>
      <c r="U18" s="4" t="s">
        <v>13</v>
      </c>
      <c r="V18" s="4" t="s">
        <v>14</v>
      </c>
      <c r="W18" s="4" t="s">
        <v>15</v>
      </c>
      <c r="X18" s="4" t="s">
        <v>18</v>
      </c>
      <c r="Y18" s="4" t="s">
        <v>16</v>
      </c>
      <c r="Z18" s="4" t="s">
        <v>17</v>
      </c>
      <c r="AD18" s="62"/>
    </row>
    <row r="19" spans="1:34">
      <c r="A19" s="18" t="s">
        <v>59</v>
      </c>
      <c r="B19" s="22">
        <v>0.32500000000000001</v>
      </c>
      <c r="C19" s="22">
        <v>0.996</v>
      </c>
      <c r="D19" s="22">
        <v>7.3920000000000003</v>
      </c>
      <c r="E19" s="22">
        <v>2.3889999999999998</v>
      </c>
      <c r="F19" s="22">
        <v>1.415</v>
      </c>
      <c r="G19" s="22">
        <v>0.755</v>
      </c>
      <c r="H19" s="22">
        <v>0.55800000000000005</v>
      </c>
      <c r="I19" s="22">
        <v>0.44700000000000001</v>
      </c>
      <c r="J19" s="22">
        <v>-0.497</v>
      </c>
      <c r="K19" s="22">
        <v>0.52400000000000002</v>
      </c>
      <c r="L19" s="22">
        <v>-1.0649999999999999</v>
      </c>
      <c r="M19" s="22">
        <v>-1.0669999999999999</v>
      </c>
      <c r="N19" s="22">
        <v>-1.2290000000000001</v>
      </c>
      <c r="O19" s="22">
        <v>-1.0880000000000001</v>
      </c>
      <c r="P19" s="22">
        <v>0.05</v>
      </c>
      <c r="Q19" s="22"/>
      <c r="R19" s="22">
        <v>0.1</v>
      </c>
      <c r="S19" s="22"/>
      <c r="T19" s="5">
        <v>1</v>
      </c>
      <c r="U19" s="6">
        <v>0</v>
      </c>
      <c r="V19" s="5">
        <v>497</v>
      </c>
      <c r="W19" s="5">
        <v>0</v>
      </c>
      <c r="X19" s="5">
        <v>0</v>
      </c>
      <c r="Y19" s="5">
        <f>X19</f>
        <v>0</v>
      </c>
      <c r="Z19" s="7">
        <f t="shared" ref="Z19:Z30" si="0">W19*Y19</f>
        <v>0</v>
      </c>
    </row>
    <row r="20" spans="1:34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5">
        <v>2</v>
      </c>
      <c r="U20" s="6">
        <f>Y12-75</f>
        <v>4.366730000000004</v>
      </c>
      <c r="V20" s="5">
        <v>492</v>
      </c>
      <c r="W20" s="7">
        <f>U20-U19</f>
        <v>4.366730000000004</v>
      </c>
      <c r="X20" s="5">
        <f>$V$19-V20</f>
        <v>5</v>
      </c>
      <c r="Y20" s="5">
        <f>X20+X19</f>
        <v>5</v>
      </c>
      <c r="Z20" s="7">
        <f>W20*Y20</f>
        <v>21.83365000000002</v>
      </c>
      <c r="AH20" s="76">
        <f>Y12-82.5</f>
        <v>-3.133269999999996</v>
      </c>
    </row>
    <row r="21" spans="1:34">
      <c r="A21" s="23"/>
      <c r="G21" s="23"/>
      <c r="H21" s="23"/>
      <c r="M21" s="23"/>
      <c r="N21" s="23"/>
      <c r="O21" s="23"/>
      <c r="P21" s="23"/>
      <c r="Q21" s="23"/>
      <c r="R21" s="23"/>
      <c r="S21" s="23"/>
      <c r="T21" s="5">
        <v>3</v>
      </c>
      <c r="U21" s="6">
        <f>U20+7.5</f>
        <v>11.866730000000004</v>
      </c>
      <c r="V21" s="5">
        <v>468</v>
      </c>
      <c r="W21" s="7">
        <f t="shared" ref="W21" si="1">U21-U20</f>
        <v>7.5</v>
      </c>
      <c r="X21" s="5">
        <f>$V$19-V21</f>
        <v>29</v>
      </c>
      <c r="Y21" s="5">
        <f t="shared" ref="Y21" si="2">X21+X20</f>
        <v>34</v>
      </c>
      <c r="Z21" s="7">
        <f t="shared" si="0"/>
        <v>255</v>
      </c>
    </row>
    <row r="22" spans="1:34">
      <c r="A22" s="23"/>
      <c r="B22" s="30"/>
      <c r="C22" s="30"/>
      <c r="D22" s="30"/>
      <c r="E22" s="30"/>
      <c r="F22" s="30"/>
      <c r="G22" s="30"/>
      <c r="H22" s="30"/>
      <c r="I22" s="30"/>
      <c r="J22" s="30"/>
      <c r="M22" s="23"/>
      <c r="N22" s="23"/>
      <c r="O22" s="23"/>
      <c r="P22" s="23"/>
      <c r="Q22" s="23"/>
      <c r="R22" s="23"/>
      <c r="S22" s="23"/>
      <c r="T22" s="5">
        <v>4</v>
      </c>
      <c r="U22" s="6">
        <f t="shared" ref="U22:U30" si="3">U21+7.5</f>
        <v>19.366730000000004</v>
      </c>
      <c r="V22" s="5">
        <v>439</v>
      </c>
      <c r="W22" s="7">
        <f>U22-U21</f>
        <v>7.5</v>
      </c>
      <c r="X22" s="5">
        <f t="shared" ref="X22:X30" si="4">$V$19-V22</f>
        <v>58</v>
      </c>
      <c r="Y22" s="5">
        <f>X22+X21</f>
        <v>87</v>
      </c>
      <c r="Z22" s="7">
        <f t="shared" si="0"/>
        <v>652.5</v>
      </c>
    </row>
    <row r="23" spans="1:34">
      <c r="A23" s="23"/>
      <c r="B23" s="30"/>
      <c r="C23" s="30"/>
      <c r="D23" s="30"/>
      <c r="E23" s="30"/>
      <c r="F23" s="30"/>
      <c r="G23" s="30"/>
      <c r="H23" s="30"/>
      <c r="I23" s="30"/>
      <c r="J23" s="30"/>
      <c r="M23" s="23"/>
      <c r="N23" s="23"/>
      <c r="O23" s="23"/>
      <c r="P23" s="23"/>
      <c r="Q23" s="23"/>
      <c r="R23" s="23"/>
      <c r="S23" s="23"/>
      <c r="T23" s="5">
        <v>5</v>
      </c>
      <c r="U23" s="6">
        <f t="shared" si="3"/>
        <v>26.866730000000004</v>
      </c>
      <c r="V23" s="5">
        <v>425</v>
      </c>
      <c r="W23" s="7">
        <f t="shared" ref="W23:W30" si="5">U23-U22</f>
        <v>7.5</v>
      </c>
      <c r="X23" s="5">
        <f t="shared" si="4"/>
        <v>72</v>
      </c>
      <c r="Y23" s="5">
        <f t="shared" ref="Y23:Y30" si="6">X23+X22</f>
        <v>130</v>
      </c>
      <c r="Z23" s="7">
        <f t="shared" si="0"/>
        <v>975</v>
      </c>
    </row>
    <row r="24" spans="1:34">
      <c r="A24" s="23"/>
      <c r="B24" s="30"/>
      <c r="C24" s="30"/>
      <c r="D24" s="30"/>
      <c r="E24" s="30"/>
      <c r="F24" s="30"/>
      <c r="G24" s="30"/>
      <c r="H24" s="30"/>
      <c r="I24" s="30"/>
      <c r="J24" s="30"/>
      <c r="M24" s="23"/>
      <c r="N24" s="23"/>
      <c r="O24" s="23"/>
      <c r="P24" s="23"/>
      <c r="Q24" s="23"/>
      <c r="R24" s="23"/>
      <c r="S24" s="23"/>
      <c r="T24" s="5">
        <v>6</v>
      </c>
      <c r="U24" s="6">
        <f t="shared" si="3"/>
        <v>34.366730000000004</v>
      </c>
      <c r="V24" s="5">
        <v>404</v>
      </c>
      <c r="W24" s="7">
        <f t="shared" si="5"/>
        <v>7.5</v>
      </c>
      <c r="X24" s="5">
        <f t="shared" si="4"/>
        <v>93</v>
      </c>
      <c r="Y24" s="5">
        <f t="shared" si="6"/>
        <v>165</v>
      </c>
      <c r="Z24" s="7">
        <f t="shared" si="0"/>
        <v>1237.5</v>
      </c>
    </row>
    <row r="25" spans="1:34">
      <c r="A25" s="23"/>
      <c r="B25" s="30"/>
      <c r="C25" s="30"/>
      <c r="D25" s="30"/>
      <c r="E25" s="30"/>
      <c r="F25" s="30"/>
      <c r="G25" s="30"/>
      <c r="H25" s="30"/>
      <c r="I25" s="30"/>
      <c r="J25" s="30"/>
      <c r="M25" s="23"/>
      <c r="N25" s="23"/>
      <c r="O25" s="23"/>
      <c r="P25" s="23"/>
      <c r="Q25" s="23"/>
      <c r="R25" s="23"/>
      <c r="S25" s="23"/>
      <c r="T25" s="5">
        <v>7</v>
      </c>
      <c r="U25" s="6">
        <f t="shared" si="3"/>
        <v>41.866730000000004</v>
      </c>
      <c r="V25" s="5">
        <v>391</v>
      </c>
      <c r="W25" s="7">
        <f t="shared" si="5"/>
        <v>7.5</v>
      </c>
      <c r="X25" s="5">
        <f t="shared" si="4"/>
        <v>106</v>
      </c>
      <c r="Y25" s="5">
        <f t="shared" si="6"/>
        <v>199</v>
      </c>
      <c r="Z25" s="7">
        <f t="shared" si="0"/>
        <v>1492.5</v>
      </c>
    </row>
    <row r="26" spans="1:34">
      <c r="A26" s="23"/>
      <c r="B26" s="30"/>
      <c r="C26" s="30"/>
      <c r="D26" s="30"/>
      <c r="E26" s="30"/>
      <c r="F26" s="30"/>
      <c r="G26" s="30"/>
      <c r="H26" s="30"/>
      <c r="I26" s="30"/>
      <c r="J26" s="30"/>
      <c r="M26" s="23"/>
      <c r="N26" s="23"/>
      <c r="O26" s="23"/>
      <c r="P26" s="23"/>
      <c r="Q26" s="23"/>
      <c r="R26" s="23"/>
      <c r="S26" s="23"/>
      <c r="T26" s="5">
        <v>8</v>
      </c>
      <c r="U26" s="6">
        <f t="shared" si="3"/>
        <v>49.366730000000004</v>
      </c>
      <c r="V26" s="5">
        <v>375</v>
      </c>
      <c r="W26" s="7">
        <f t="shared" si="5"/>
        <v>7.5</v>
      </c>
      <c r="X26" s="5">
        <f t="shared" si="4"/>
        <v>122</v>
      </c>
      <c r="Y26" s="5">
        <f t="shared" si="6"/>
        <v>228</v>
      </c>
      <c r="Z26" s="7">
        <f t="shared" si="0"/>
        <v>1710</v>
      </c>
    </row>
    <row r="27" spans="1:34">
      <c r="A27" s="23"/>
      <c r="B27" s="30"/>
      <c r="C27" s="30"/>
      <c r="D27" s="30"/>
      <c r="E27" s="30"/>
      <c r="F27" s="30"/>
      <c r="G27" s="30"/>
      <c r="H27" s="30"/>
      <c r="I27" s="30"/>
      <c r="J27" s="30"/>
      <c r="M27" s="23"/>
      <c r="N27" s="23"/>
      <c r="O27" s="23"/>
      <c r="P27" s="23"/>
      <c r="Q27" s="23"/>
      <c r="R27" s="23"/>
      <c r="S27" s="23"/>
      <c r="T27" s="5">
        <v>9</v>
      </c>
      <c r="U27" s="6">
        <f t="shared" si="3"/>
        <v>56.866730000000004</v>
      </c>
      <c r="V27" s="5">
        <v>365</v>
      </c>
      <c r="W27" s="7">
        <f t="shared" si="5"/>
        <v>7.5</v>
      </c>
      <c r="X27" s="5">
        <f t="shared" si="4"/>
        <v>132</v>
      </c>
      <c r="Y27" s="5">
        <f t="shared" si="6"/>
        <v>254</v>
      </c>
      <c r="Z27" s="7">
        <f t="shared" si="0"/>
        <v>1905</v>
      </c>
    </row>
    <row r="28" spans="1:34">
      <c r="A28" s="23"/>
      <c r="B28" s="30"/>
      <c r="C28" s="30"/>
      <c r="D28" s="30"/>
      <c r="E28" s="30"/>
      <c r="F28" s="30"/>
      <c r="G28" s="30"/>
      <c r="H28" s="30"/>
      <c r="I28" s="30"/>
      <c r="J28" s="30"/>
      <c r="M28" s="23"/>
      <c r="N28" s="23"/>
      <c r="O28" s="23"/>
      <c r="P28" s="23"/>
      <c r="Q28" s="23"/>
      <c r="R28" s="23"/>
      <c r="S28" s="23"/>
      <c r="T28" s="5">
        <v>10</v>
      </c>
      <c r="U28" s="6">
        <f t="shared" si="3"/>
        <v>64.366730000000004</v>
      </c>
      <c r="V28" s="5">
        <v>360</v>
      </c>
      <c r="W28" s="7">
        <f t="shared" si="5"/>
        <v>7.5</v>
      </c>
      <c r="X28" s="5">
        <f t="shared" si="4"/>
        <v>137</v>
      </c>
      <c r="Y28" s="5">
        <f t="shared" si="6"/>
        <v>269</v>
      </c>
      <c r="Z28" s="7">
        <f t="shared" si="0"/>
        <v>2017.5</v>
      </c>
    </row>
    <row r="29" spans="1:34">
      <c r="A29" s="23"/>
      <c r="B29" s="30"/>
      <c r="C29" s="30"/>
      <c r="D29" s="30"/>
      <c r="E29" s="30"/>
      <c r="F29" s="30"/>
      <c r="G29" s="30"/>
      <c r="H29" s="30"/>
      <c r="I29" s="30"/>
      <c r="J29" s="30"/>
      <c r="M29" s="23"/>
      <c r="N29" s="23"/>
      <c r="O29" s="23"/>
      <c r="P29" s="23"/>
      <c r="Q29" s="23"/>
      <c r="R29" s="23"/>
      <c r="S29" s="23"/>
      <c r="T29" s="5">
        <v>11</v>
      </c>
      <c r="U29" s="6">
        <f t="shared" si="3"/>
        <v>71.866730000000004</v>
      </c>
      <c r="V29" s="5">
        <v>355</v>
      </c>
      <c r="W29" s="7">
        <f t="shared" si="5"/>
        <v>7.5</v>
      </c>
      <c r="X29" s="5">
        <f t="shared" si="4"/>
        <v>142</v>
      </c>
      <c r="Y29" s="5">
        <f t="shared" si="6"/>
        <v>279</v>
      </c>
      <c r="Z29" s="7">
        <f t="shared" si="0"/>
        <v>2092.5</v>
      </c>
    </row>
    <row r="30" spans="1:34">
      <c r="C30" s="25"/>
      <c r="I30" s="24"/>
      <c r="T30" s="5">
        <v>14</v>
      </c>
      <c r="U30" s="6">
        <f t="shared" si="3"/>
        <v>79.366730000000004</v>
      </c>
      <c r="V30" s="5">
        <v>348</v>
      </c>
      <c r="W30" s="7">
        <f t="shared" si="5"/>
        <v>7.5</v>
      </c>
      <c r="X30" s="5">
        <f t="shared" si="4"/>
        <v>149</v>
      </c>
      <c r="Y30" s="5">
        <f t="shared" si="6"/>
        <v>291</v>
      </c>
      <c r="Z30" s="7">
        <f t="shared" si="0"/>
        <v>2182.5</v>
      </c>
    </row>
    <row r="31" spans="1:34">
      <c r="C31" s="25"/>
      <c r="I31" s="24"/>
      <c r="T31" s="141" t="s">
        <v>11</v>
      </c>
      <c r="U31" s="142"/>
      <c r="V31" s="142"/>
      <c r="W31" s="142"/>
      <c r="X31" s="142"/>
      <c r="Y31" s="143"/>
      <c r="Z31" s="8">
        <f>SUM(Z19:Z30)</f>
        <v>14541.83365</v>
      </c>
    </row>
    <row r="32" spans="1:34">
      <c r="C32" s="25"/>
      <c r="I32" s="24"/>
      <c r="T32" s="1"/>
      <c r="U32" s="1"/>
      <c r="V32" s="1"/>
      <c r="W32" s="1"/>
      <c r="X32" s="1"/>
      <c r="Y32" s="1"/>
      <c r="Z32" s="1"/>
      <c r="AA32" s="1"/>
    </row>
    <row r="33" spans="2:33" ht="15.6">
      <c r="C33" s="25"/>
      <c r="I33" s="24"/>
      <c r="T33" s="1" t="s">
        <v>19</v>
      </c>
      <c r="U33" s="1"/>
      <c r="V33" s="1"/>
      <c r="W33" s="1"/>
      <c r="X33" s="1"/>
      <c r="Y33" s="9">
        <f>Z31/(Y12)^2</f>
        <v>2.3085654821856174</v>
      </c>
      <c r="Z33" s="10" t="s">
        <v>12</v>
      </c>
      <c r="AA33" s="1"/>
    </row>
    <row r="34" spans="2:33">
      <c r="C34" s="25"/>
      <c r="I34" s="24"/>
      <c r="T34" s="1"/>
      <c r="U34" s="1"/>
      <c r="V34" s="1"/>
      <c r="W34" s="1"/>
      <c r="X34" s="1"/>
      <c r="Y34" s="1"/>
      <c r="Z34" s="1"/>
      <c r="AA34" s="1"/>
    </row>
    <row r="35" spans="2:33">
      <c r="B35" s="17"/>
      <c r="C35" s="25"/>
      <c r="I35" s="24"/>
      <c r="T35" s="1"/>
      <c r="U35" s="1"/>
      <c r="V35" s="1"/>
      <c r="W35" s="1"/>
      <c r="X35" s="1"/>
      <c r="Y35" s="1"/>
      <c r="Z35" s="1"/>
      <c r="AA35" s="1"/>
    </row>
    <row r="36" spans="2:33">
      <c r="T36" s="63" t="s">
        <v>150</v>
      </c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</row>
    <row r="38" spans="2:33">
      <c r="T38" s="137" t="s">
        <v>989</v>
      </c>
      <c r="U38" s="137"/>
      <c r="V38" s="137"/>
      <c r="W38" s="137"/>
      <c r="X38" s="137"/>
      <c r="Y38" s="137"/>
      <c r="Z38" s="137"/>
    </row>
    <row r="39" spans="2:33" ht="27.6">
      <c r="T39" s="12" t="s">
        <v>20</v>
      </c>
      <c r="U39" s="12" t="s">
        <v>21</v>
      </c>
      <c r="V39" s="12" t="s">
        <v>22</v>
      </c>
      <c r="W39" s="15" t="s">
        <v>23</v>
      </c>
      <c r="X39" s="26" t="s">
        <v>46</v>
      </c>
      <c r="Y39" s="26" t="s">
        <v>47</v>
      </c>
      <c r="Z39" s="12" t="s">
        <v>24</v>
      </c>
      <c r="AA39" s="12" t="s">
        <v>25</v>
      </c>
      <c r="AB39" s="12" t="s">
        <v>26</v>
      </c>
    </row>
    <row r="40" spans="2:33">
      <c r="T40" s="13">
        <v>1</v>
      </c>
      <c r="U40" s="13" t="s">
        <v>27</v>
      </c>
      <c r="V40" s="11" t="s">
        <v>28</v>
      </c>
      <c r="W40" s="16" t="s">
        <v>29</v>
      </c>
      <c r="X40" s="16"/>
      <c r="Y40" s="16"/>
      <c r="Z40" s="13">
        <v>1</v>
      </c>
      <c r="AA40" s="31">
        <v>1</v>
      </c>
      <c r="AB40" s="13" t="s">
        <v>30</v>
      </c>
    </row>
    <row r="41" spans="2:33">
      <c r="T41" s="13">
        <v>2</v>
      </c>
      <c r="U41" s="13" t="s">
        <v>31</v>
      </c>
      <c r="V41" s="11" t="s">
        <v>28</v>
      </c>
      <c r="W41" s="16" t="str">
        <f>"tp ="&amp;X41&amp;"x (qp)"&amp;Y41</f>
        <v>tp =2.195x (qp)-0.944</v>
      </c>
      <c r="X41" s="13">
        <f>VLOOKUP(U4,$A$5:$H$19,2,0)</f>
        <v>2.1949999999999998</v>
      </c>
      <c r="Y41" s="13">
        <f>VLOOKUP(U4,$A$5:$O$19,9,0)</f>
        <v>-0.94399999999999995</v>
      </c>
      <c r="Z41" s="13">
        <f>ROUND((X41*((Z42)^(Y41))),3)</f>
        <v>8.6639999999999997</v>
      </c>
      <c r="AA41" s="31">
        <v>9</v>
      </c>
      <c r="AB41" s="13" t="s">
        <v>30</v>
      </c>
    </row>
    <row r="42" spans="2:33" ht="15">
      <c r="T42" s="13">
        <v>3</v>
      </c>
      <c r="U42" s="13" t="s">
        <v>34</v>
      </c>
      <c r="V42" s="11" t="s">
        <v>32</v>
      </c>
      <c r="W42" s="11" t="str">
        <f>"qp = "&amp;X42&amp;"x (L/S)"&amp;Y42</f>
        <v>qp = 1.331x (L/S)-0.492</v>
      </c>
      <c r="X42" s="13">
        <f>VLOOKUP(U4,$A$5:$H$19,3,0)</f>
        <v>1.331</v>
      </c>
      <c r="Y42" s="13">
        <f>VLOOKUP(U4,$A$5:$O$19,10,0)</f>
        <v>-0.49199999999999999</v>
      </c>
      <c r="Z42" s="14">
        <f>X42*(Y12/Y33)^Y42</f>
        <v>0.23351795625257779</v>
      </c>
      <c r="AA42" s="32">
        <v>0.24</v>
      </c>
      <c r="AB42" s="13" t="s">
        <v>30</v>
      </c>
    </row>
    <row r="43" spans="2:33" ht="15.6">
      <c r="T43" s="13">
        <v>4</v>
      </c>
      <c r="U43" s="13" t="s">
        <v>35</v>
      </c>
      <c r="V43" s="11" t="s">
        <v>33</v>
      </c>
      <c r="W43" t="s">
        <v>72</v>
      </c>
      <c r="Z43" s="13">
        <f>Z42*Y11</f>
        <v>204.42395408306911</v>
      </c>
      <c r="AA43" s="33">
        <v>205</v>
      </c>
      <c r="AB43" s="13" t="s">
        <v>30</v>
      </c>
    </row>
    <row r="44" spans="2:33" ht="15">
      <c r="T44" s="13">
        <v>5</v>
      </c>
      <c r="U44" s="13" t="s">
        <v>36</v>
      </c>
      <c r="V44" s="11" t="s">
        <v>28</v>
      </c>
      <c r="W44" s="11" t="s">
        <v>37</v>
      </c>
      <c r="X44" s="13"/>
      <c r="Y44" s="13"/>
      <c r="Z44" s="13">
        <f>Z41+Z40/2</f>
        <v>9.1639999999999997</v>
      </c>
      <c r="AA44" s="31">
        <v>9</v>
      </c>
      <c r="AB44" s="13" t="s">
        <v>30</v>
      </c>
    </row>
    <row r="45" spans="2:33" ht="15">
      <c r="T45" s="13">
        <v>6</v>
      </c>
      <c r="U45" s="13" t="s">
        <v>38</v>
      </c>
      <c r="V45" s="11" t="s">
        <v>28</v>
      </c>
      <c r="W45" s="16" t="str">
        <f>"W50= "&amp;X45&amp;"x (qp)"&amp;Y45</f>
        <v>W50= 2.04x (qp)-1.026</v>
      </c>
      <c r="X45" s="13">
        <f>VLOOKUP(U4,$A$5:$H$19,5,0)</f>
        <v>2.04</v>
      </c>
      <c r="Y45" s="13">
        <f>VLOOKUP(U4,$A$5:$O$19,12,0)</f>
        <v>-1.026</v>
      </c>
      <c r="Z45" s="13">
        <f>ROUND((X45*(Z42^(Y45))),3)</f>
        <v>9.0730000000000004</v>
      </c>
      <c r="AA45" s="33">
        <v>9</v>
      </c>
      <c r="AB45" s="13" t="s">
        <v>30</v>
      </c>
    </row>
    <row r="46" spans="2:33" ht="15">
      <c r="T46" s="13">
        <v>7</v>
      </c>
      <c r="U46" s="13" t="s">
        <v>39</v>
      </c>
      <c r="V46" s="11" t="s">
        <v>28</v>
      </c>
      <c r="W46" s="16" t="str">
        <f>"W75="&amp;X46&amp; "x (qp)"&amp;Y46</f>
        <v>W75=1.25x (qp)-0.864</v>
      </c>
      <c r="X46" s="13">
        <f>VLOOKUP(U4,$A$5:$H$19,6,0)</f>
        <v>1.25</v>
      </c>
      <c r="Y46" s="13">
        <f>VLOOKUP(U4,$A$5:$O$19,13,0)</f>
        <v>-0.86399999999999999</v>
      </c>
      <c r="Z46" s="13">
        <f>ROUND((X46*(Z42^(Y46))),3)</f>
        <v>4.3920000000000003</v>
      </c>
      <c r="AA46" s="33">
        <v>5</v>
      </c>
      <c r="AB46" s="13" t="s">
        <v>30</v>
      </c>
    </row>
    <row r="47" spans="2:33" ht="15">
      <c r="T47" s="13">
        <v>8</v>
      </c>
      <c r="U47" s="13" t="s">
        <v>40</v>
      </c>
      <c r="V47" s="11" t="s">
        <v>28</v>
      </c>
      <c r="W47" s="16" t="str">
        <f>"WR50="&amp;X47&amp; "x (qp)"&amp;Y47</f>
        <v>WR50=0.739x (qp)-0.968</v>
      </c>
      <c r="X47" s="13">
        <f>VLOOKUP(U4,$A$5:$H$19,7,0)</f>
        <v>0.73899999999999999</v>
      </c>
      <c r="Y47" s="13">
        <f>VLOOKUP(U4,$A$5:$O$19,14,0)</f>
        <v>-0.96799999999999997</v>
      </c>
      <c r="Z47" s="13">
        <f>ROUND((X47*(Z42^(Y47))),4)</f>
        <v>3.0207000000000002</v>
      </c>
      <c r="AA47" s="33">
        <v>3</v>
      </c>
      <c r="AB47" s="13" t="s">
        <v>30</v>
      </c>
    </row>
    <row r="48" spans="2:33" ht="15">
      <c r="T48" s="13">
        <v>9</v>
      </c>
      <c r="U48" s="13" t="s">
        <v>41</v>
      </c>
      <c r="V48" s="11" t="s">
        <v>28</v>
      </c>
      <c r="W48" s="16" t="str">
        <f>"WR75= "&amp;X48&amp;" x (qp)"&amp;Y48</f>
        <v>WR75= 0.5 x (qp)-0.813</v>
      </c>
      <c r="X48" s="13">
        <f>VLOOKUP(U4,$A$5:$H$19,8,0)</f>
        <v>0.5</v>
      </c>
      <c r="Y48" s="13">
        <f>VLOOKUP(U4,$A$5:$O$19,15,0)</f>
        <v>-0.81299999999999994</v>
      </c>
      <c r="Z48" s="13">
        <f>ROUND((X48*(Z42^(Y48))),4)</f>
        <v>1.6313</v>
      </c>
      <c r="AA48" s="33">
        <v>2</v>
      </c>
      <c r="AB48" s="13" t="s">
        <v>30</v>
      </c>
    </row>
    <row r="49" spans="20:28" ht="15">
      <c r="T49" s="13">
        <v>10</v>
      </c>
      <c r="U49" s="13" t="s">
        <v>42</v>
      </c>
      <c r="V49" s="11" t="s">
        <v>28</v>
      </c>
      <c r="W49" s="16" t="str">
        <f>"TB ="&amp;X49&amp;"x (tp)"&amp;Y49</f>
        <v>TB =3.917x (tp)0.99</v>
      </c>
      <c r="X49" s="13">
        <f>VLOOKUP(U4,$A$5:$H$19,4,0)</f>
        <v>3.9169999999999998</v>
      </c>
      <c r="Y49" s="13">
        <f>VLOOKUP(U4,$A$5:$O$19,11,0)</f>
        <v>0.99</v>
      </c>
      <c r="Z49" s="13">
        <f>ROUND((X49*(Z41^(Y49))),4)</f>
        <v>33.212000000000003</v>
      </c>
      <c r="AA49" s="33">
        <v>33</v>
      </c>
      <c r="AB49" s="13" t="s">
        <v>30</v>
      </c>
    </row>
    <row r="50" spans="20:28" ht="15.6">
      <c r="T50" s="13">
        <v>11</v>
      </c>
      <c r="U50" s="13" t="s">
        <v>73</v>
      </c>
      <c r="V50" s="11" t="s">
        <v>28</v>
      </c>
      <c r="W50" s="39" t="s">
        <v>74</v>
      </c>
      <c r="X50" s="13"/>
      <c r="Y50" s="13"/>
      <c r="Z50" s="13">
        <f>Z41*1.1</f>
        <v>9.5304000000000002</v>
      </c>
      <c r="AA50" s="33">
        <v>10</v>
      </c>
      <c r="AB50" s="13"/>
    </row>
    <row r="52" spans="20:28">
      <c r="T52" s="102" t="s">
        <v>75</v>
      </c>
      <c r="U52" s="103" t="s">
        <v>76</v>
      </c>
      <c r="V52" s="103"/>
      <c r="W52" s="103"/>
      <c r="X52" s="103"/>
      <c r="Y52" s="103"/>
      <c r="Z52" s="103"/>
    </row>
    <row r="53" spans="20:28" ht="15.6">
      <c r="T53" s="102" t="s">
        <v>991</v>
      </c>
      <c r="U53" s="103" t="s">
        <v>77</v>
      </c>
      <c r="V53" s="103"/>
      <c r="W53" s="103"/>
      <c r="X53" s="103"/>
      <c r="Y53" s="103"/>
      <c r="Z53" s="103"/>
    </row>
    <row r="54" spans="20:28" ht="15.6">
      <c r="T54" s="102" t="s">
        <v>992</v>
      </c>
      <c r="U54" s="103" t="s">
        <v>78</v>
      </c>
      <c r="V54" s="103"/>
      <c r="W54" s="103"/>
      <c r="X54" s="103"/>
      <c r="Y54" s="103"/>
      <c r="Z54" s="103"/>
    </row>
    <row r="55" spans="20:28" ht="15.6">
      <c r="T55" s="102" t="s">
        <v>993</v>
      </c>
      <c r="U55" s="103" t="s">
        <v>79</v>
      </c>
      <c r="V55" s="103"/>
      <c r="W55" s="103"/>
      <c r="X55" s="103"/>
      <c r="Y55" s="103"/>
      <c r="Z55" s="103"/>
    </row>
    <row r="56" spans="20:28" ht="15.6">
      <c r="T56" s="102" t="s">
        <v>994</v>
      </c>
      <c r="U56" s="103" t="s">
        <v>80</v>
      </c>
      <c r="V56" s="103"/>
      <c r="W56" s="103"/>
      <c r="X56" s="103"/>
      <c r="Y56" s="103"/>
      <c r="Z56" s="103"/>
    </row>
    <row r="57" spans="20:28" ht="15.6">
      <c r="T57" s="102" t="s">
        <v>995</v>
      </c>
      <c r="U57" s="103" t="s">
        <v>81</v>
      </c>
      <c r="V57" s="103"/>
      <c r="W57" s="103"/>
      <c r="X57" s="103"/>
      <c r="Y57" s="103"/>
      <c r="Z57" s="103"/>
    </row>
    <row r="58" spans="20:28" ht="15.6">
      <c r="T58" s="102" t="s">
        <v>996</v>
      </c>
      <c r="U58" s="103" t="s">
        <v>82</v>
      </c>
      <c r="V58" s="103"/>
      <c r="W58" s="103"/>
      <c r="X58" s="103"/>
      <c r="Y58" s="103"/>
      <c r="Z58" s="103"/>
    </row>
    <row r="59" spans="20:28" ht="15.6">
      <c r="T59" s="102" t="s">
        <v>997</v>
      </c>
      <c r="U59" s="103" t="s">
        <v>83</v>
      </c>
      <c r="V59" s="103"/>
      <c r="W59" s="103"/>
      <c r="X59" s="103"/>
      <c r="Y59" s="103"/>
      <c r="Z59" s="103"/>
    </row>
    <row r="60" spans="20:28" ht="15.6">
      <c r="T60" s="102" t="s">
        <v>998</v>
      </c>
      <c r="U60" s="103" t="s">
        <v>84</v>
      </c>
      <c r="V60" s="103"/>
      <c r="W60" s="103"/>
      <c r="X60" s="103"/>
      <c r="Y60" s="103"/>
      <c r="Z60" s="103"/>
    </row>
    <row r="61" spans="20:28">
      <c r="T61" s="102" t="s">
        <v>85</v>
      </c>
      <c r="U61" s="103" t="s">
        <v>86</v>
      </c>
      <c r="V61" s="103"/>
      <c r="W61" s="103"/>
      <c r="X61" s="103"/>
      <c r="Y61" s="103"/>
      <c r="Z61" s="103"/>
    </row>
    <row r="62" spans="20:28">
      <c r="T62" s="102" t="s">
        <v>87</v>
      </c>
      <c r="U62" s="103" t="s">
        <v>88</v>
      </c>
      <c r="V62" s="103"/>
      <c r="W62" s="103"/>
      <c r="X62" s="103"/>
      <c r="Y62" s="103"/>
      <c r="Z62" s="103"/>
    </row>
    <row r="63" spans="20:28">
      <c r="T63" s="102" t="s">
        <v>89</v>
      </c>
      <c r="U63" s="103" t="s">
        <v>90</v>
      </c>
      <c r="V63" s="103"/>
      <c r="W63" s="103"/>
      <c r="X63" s="103"/>
      <c r="Y63" s="103"/>
      <c r="Z63" s="103"/>
    </row>
    <row r="64" spans="20:28">
      <c r="T64" s="102" t="s">
        <v>91</v>
      </c>
      <c r="U64" s="103" t="s">
        <v>92</v>
      </c>
      <c r="V64" s="103"/>
      <c r="W64" s="103"/>
      <c r="X64" s="103"/>
      <c r="Y64" s="103"/>
      <c r="Z64" s="103"/>
    </row>
    <row r="67" spans="20:27">
      <c r="T67" s="137" t="s">
        <v>990</v>
      </c>
      <c r="U67" s="137"/>
      <c r="V67" s="137"/>
      <c r="W67" s="137"/>
      <c r="X67" s="1"/>
      <c r="Y67" s="1"/>
      <c r="Z67" s="104"/>
      <c r="AA67" s="1"/>
    </row>
    <row r="68" spans="20:27">
      <c r="T68" s="98"/>
      <c r="U68" s="105"/>
      <c r="V68" s="98"/>
      <c r="W68" s="1"/>
      <c r="X68" s="1"/>
      <c r="Y68" s="1"/>
      <c r="Z68" s="104"/>
      <c r="AA68" s="1"/>
    </row>
    <row r="69" spans="20:27">
      <c r="T69" s="3" t="s">
        <v>93</v>
      </c>
      <c r="U69" s="3" t="s">
        <v>94</v>
      </c>
      <c r="V69" s="4" t="s">
        <v>95</v>
      </c>
      <c r="W69" s="3" t="s">
        <v>96</v>
      </c>
      <c r="X69" s="1"/>
      <c r="Y69" s="1"/>
      <c r="Z69" s="104"/>
      <c r="AA69" s="1"/>
    </row>
    <row r="70" spans="20:27">
      <c r="T70" s="5">
        <v>1</v>
      </c>
      <c r="U70" s="106">
        <v>0</v>
      </c>
      <c r="V70" s="106">
        <v>0</v>
      </c>
      <c r="W70" s="99"/>
      <c r="X70" s="1"/>
      <c r="Y70" s="1"/>
      <c r="Z70" s="104"/>
      <c r="AA70" s="1"/>
    </row>
    <row r="71" spans="20:27">
      <c r="T71" s="5">
        <v>2</v>
      </c>
      <c r="U71" s="7">
        <f>AA44-AA47</f>
        <v>6</v>
      </c>
      <c r="V71" s="107">
        <f>AA43/2</f>
        <v>102.5</v>
      </c>
      <c r="W71" s="7">
        <f t="shared" ref="W71:W76" si="7">(V71+V70)/2*(U71-U70)</f>
        <v>307.5</v>
      </c>
      <c r="X71" s="1"/>
      <c r="Y71" s="1"/>
      <c r="Z71" s="1"/>
      <c r="AA71" s="1"/>
    </row>
    <row r="72" spans="20:27">
      <c r="T72" s="5">
        <v>3</v>
      </c>
      <c r="U72" s="107">
        <f>AA44-AA48</f>
        <v>7</v>
      </c>
      <c r="V72" s="107">
        <f>AA43*0.75</f>
        <v>153.75</v>
      </c>
      <c r="W72" s="7">
        <f t="shared" si="7"/>
        <v>128.125</v>
      </c>
      <c r="X72" s="1"/>
      <c r="Y72" s="1"/>
      <c r="Z72" s="1"/>
      <c r="AA72" s="1"/>
    </row>
    <row r="73" spans="20:27">
      <c r="T73" s="5">
        <v>4</v>
      </c>
      <c r="U73" s="107">
        <f>AA44</f>
        <v>9</v>
      </c>
      <c r="V73" s="107">
        <f>AA43</f>
        <v>205</v>
      </c>
      <c r="W73" s="7">
        <f t="shared" si="7"/>
        <v>358.75</v>
      </c>
      <c r="X73" s="1"/>
      <c r="Y73" s="1"/>
      <c r="Z73" s="1"/>
      <c r="AA73" s="1"/>
    </row>
    <row r="74" spans="20:27">
      <c r="T74" s="5">
        <v>5</v>
      </c>
      <c r="U74" s="107">
        <f>AA44+(AA46-AA48)</f>
        <v>12</v>
      </c>
      <c r="V74" s="107">
        <f>AA43*0.75</f>
        <v>153.75</v>
      </c>
      <c r="W74" s="7">
        <f t="shared" si="7"/>
        <v>538.125</v>
      </c>
      <c r="X74" s="1"/>
      <c r="Y74" s="1"/>
      <c r="Z74" s="1"/>
      <c r="AA74" s="1"/>
    </row>
    <row r="75" spans="20:27">
      <c r="T75" s="5">
        <v>6</v>
      </c>
      <c r="U75" s="107">
        <f>AA44+(AA45-AA47)</f>
        <v>15</v>
      </c>
      <c r="V75" s="107">
        <f>AA43/2</f>
        <v>102.5</v>
      </c>
      <c r="W75" s="7">
        <f t="shared" si="7"/>
        <v>384.375</v>
      </c>
      <c r="X75" s="1"/>
      <c r="Y75" s="1"/>
      <c r="Z75" s="1"/>
      <c r="AA75" s="1"/>
    </row>
    <row r="76" spans="20:27">
      <c r="T76" s="5">
        <v>7</v>
      </c>
      <c r="U76" s="107">
        <f>AA49</f>
        <v>33</v>
      </c>
      <c r="V76" s="106">
        <v>0</v>
      </c>
      <c r="W76" s="7">
        <f t="shared" si="7"/>
        <v>922.5</v>
      </c>
      <c r="X76" s="1"/>
      <c r="Y76" s="1"/>
      <c r="Z76" s="1"/>
      <c r="AA76" s="1"/>
    </row>
    <row r="77" spans="20:27">
      <c r="T77" s="137" t="s">
        <v>999</v>
      </c>
      <c r="U77" s="137"/>
      <c r="V77" s="137"/>
      <c r="W77" s="137"/>
      <c r="X77" s="1"/>
      <c r="Y77" s="1"/>
      <c r="Z77" s="1"/>
      <c r="AA77" s="1"/>
    </row>
    <row r="78" spans="20:27">
      <c r="T78" s="108" t="s">
        <v>93</v>
      </c>
      <c r="U78" s="3" t="s">
        <v>94</v>
      </c>
      <c r="V78" s="109" t="s">
        <v>151</v>
      </c>
      <c r="W78" s="110" t="s">
        <v>97</v>
      </c>
      <c r="X78" s="1"/>
      <c r="Y78" s="1"/>
      <c r="Z78" s="1"/>
      <c r="AA78" s="1"/>
    </row>
    <row r="79" spans="20:27">
      <c r="T79" s="5">
        <v>1</v>
      </c>
      <c r="U79" s="107">
        <f>U70</f>
        <v>0</v>
      </c>
      <c r="V79" s="107">
        <f ca="1">FORECAST(U79,OFFSET( $V$70:$V$76,MATCH(U79,$U$70:$U$76,1)-1,0,2),OFFSET($U$70:$U$76,MATCH(U79,$U$70:$U$76,1)-1,0,2))</f>
        <v>0</v>
      </c>
      <c r="W79" s="7">
        <v>0</v>
      </c>
      <c r="X79" s="1"/>
      <c r="Y79" s="1"/>
      <c r="Z79" s="1"/>
      <c r="AA79" s="1"/>
    </row>
    <row r="80" spans="20:27">
      <c r="T80" s="5">
        <v>2</v>
      </c>
      <c r="U80" s="107">
        <v>1</v>
      </c>
      <c r="V80" s="107">
        <f t="shared" ref="V80:V111" ca="1" si="8">FORECAST(U80,OFFSET( $V$70:$V$76,MATCH(U80,$U$70:$U$76,1)-1,0,2),OFFSET($U$70:$U$76,MATCH(U80,$U$70:$U$76,1)-1,0,2))</f>
        <v>17.083333333333332</v>
      </c>
      <c r="W80" s="7">
        <f t="shared" ref="W80:W112" ca="1" si="9">(V80+V79)/2*(U80-U79)</f>
        <v>8.5416666666666661</v>
      </c>
      <c r="X80" s="1"/>
      <c r="Y80" s="1"/>
      <c r="Z80" s="1"/>
      <c r="AA80" s="1"/>
    </row>
    <row r="81" spans="20:27">
      <c r="T81" s="5">
        <v>3</v>
      </c>
      <c r="U81" s="107">
        <v>2</v>
      </c>
      <c r="V81" s="107">
        <f t="shared" ca="1" si="8"/>
        <v>34.166666666666664</v>
      </c>
      <c r="W81" s="7">
        <f t="shared" ca="1" si="9"/>
        <v>25.625</v>
      </c>
      <c r="X81" s="1"/>
      <c r="Y81" s="1"/>
      <c r="Z81" s="1"/>
      <c r="AA81" s="1"/>
    </row>
    <row r="82" spans="20:27">
      <c r="T82" s="5">
        <v>4</v>
      </c>
      <c r="U82" s="107">
        <v>3</v>
      </c>
      <c r="V82" s="107">
        <f t="shared" ca="1" si="8"/>
        <v>51.25</v>
      </c>
      <c r="W82" s="7">
        <f t="shared" ca="1" si="9"/>
        <v>42.708333333333329</v>
      </c>
      <c r="X82" s="1"/>
      <c r="Y82" s="1"/>
      <c r="Z82" s="1"/>
      <c r="AA82" s="1"/>
    </row>
    <row r="83" spans="20:27">
      <c r="T83" s="5">
        <v>5</v>
      </c>
      <c r="U83" s="107">
        <v>4</v>
      </c>
      <c r="V83" s="107">
        <f t="shared" ca="1" si="8"/>
        <v>68.333333333333329</v>
      </c>
      <c r="W83" s="7">
        <f t="shared" ca="1" si="9"/>
        <v>59.791666666666664</v>
      </c>
      <c r="X83" s="1"/>
      <c r="Y83" s="1"/>
      <c r="Z83" s="1"/>
      <c r="AA83" s="1"/>
    </row>
    <row r="84" spans="20:27">
      <c r="T84" s="5">
        <v>6</v>
      </c>
      <c r="U84" s="107">
        <v>5</v>
      </c>
      <c r="V84" s="107">
        <f t="shared" ca="1" si="8"/>
        <v>85.416666666666657</v>
      </c>
      <c r="W84" s="7">
        <f t="shared" ca="1" si="9"/>
        <v>76.875</v>
      </c>
      <c r="X84" s="1"/>
      <c r="Y84" s="1"/>
      <c r="Z84" s="1"/>
      <c r="AA84" s="1"/>
    </row>
    <row r="85" spans="20:27">
      <c r="T85" s="5">
        <v>7</v>
      </c>
      <c r="U85" s="107">
        <v>6</v>
      </c>
      <c r="V85" s="107">
        <f t="shared" ca="1" si="8"/>
        <v>102.5</v>
      </c>
      <c r="W85" s="7">
        <f t="shared" ca="1" si="9"/>
        <v>93.958333333333329</v>
      </c>
      <c r="X85" s="1"/>
      <c r="Y85" s="1"/>
      <c r="Z85" s="1"/>
      <c r="AA85" s="1"/>
    </row>
    <row r="86" spans="20:27">
      <c r="T86" s="5">
        <v>8</v>
      </c>
      <c r="U86" s="107">
        <v>7</v>
      </c>
      <c r="V86" s="107">
        <f t="shared" ca="1" si="8"/>
        <v>153.75</v>
      </c>
      <c r="W86" s="7">
        <f t="shared" ca="1" si="9"/>
        <v>128.125</v>
      </c>
      <c r="X86" s="1"/>
      <c r="Y86" s="1"/>
      <c r="Z86" s="1"/>
      <c r="AA86" s="1"/>
    </row>
    <row r="87" spans="20:27">
      <c r="T87" s="5">
        <v>9</v>
      </c>
      <c r="U87" s="107">
        <v>8</v>
      </c>
      <c r="V87" s="107">
        <f t="shared" ca="1" si="8"/>
        <v>179.375</v>
      </c>
      <c r="W87" s="7">
        <f t="shared" ca="1" si="9"/>
        <v>166.5625</v>
      </c>
      <c r="X87" s="1"/>
      <c r="Y87" s="1"/>
      <c r="Z87" s="1"/>
      <c r="AA87" s="1"/>
    </row>
    <row r="88" spans="20:27">
      <c r="T88" s="5">
        <v>10</v>
      </c>
      <c r="U88" s="107">
        <v>9</v>
      </c>
      <c r="V88" s="107">
        <f t="shared" ca="1" si="8"/>
        <v>205</v>
      </c>
      <c r="W88" s="7">
        <f t="shared" ca="1" si="9"/>
        <v>192.1875</v>
      </c>
      <c r="X88" s="1"/>
      <c r="Y88" s="1"/>
      <c r="Z88" s="1"/>
      <c r="AA88" s="1"/>
    </row>
    <row r="89" spans="20:27">
      <c r="T89" s="5">
        <v>11</v>
      </c>
      <c r="U89" s="107">
        <v>10</v>
      </c>
      <c r="V89" s="107">
        <f t="shared" ca="1" si="8"/>
        <v>187.91666666666669</v>
      </c>
      <c r="W89" s="7">
        <f t="shared" ca="1" si="9"/>
        <v>196.45833333333334</v>
      </c>
      <c r="X89" s="1"/>
      <c r="Y89" s="1"/>
      <c r="Z89" s="1"/>
      <c r="AA89" s="1"/>
    </row>
    <row r="90" spans="20:27">
      <c r="T90" s="5">
        <v>12</v>
      </c>
      <c r="U90" s="107">
        <v>11</v>
      </c>
      <c r="V90" s="107">
        <f t="shared" ca="1" si="8"/>
        <v>170.83333333333334</v>
      </c>
      <c r="W90" s="7">
        <f t="shared" ca="1" si="9"/>
        <v>179.375</v>
      </c>
      <c r="X90" s="1"/>
      <c r="Y90" s="1"/>
      <c r="Z90" s="1"/>
      <c r="AA90" s="1"/>
    </row>
    <row r="91" spans="20:27">
      <c r="T91" s="5">
        <v>13</v>
      </c>
      <c r="U91" s="107">
        <v>12</v>
      </c>
      <c r="V91" s="107">
        <f t="shared" ca="1" si="8"/>
        <v>153.75</v>
      </c>
      <c r="W91" s="7">
        <f t="shared" ca="1" si="9"/>
        <v>162.29166666666669</v>
      </c>
      <c r="X91" s="1"/>
      <c r="Y91" s="1"/>
      <c r="Z91" s="1"/>
      <c r="AA91" s="1"/>
    </row>
    <row r="92" spans="20:27">
      <c r="T92" s="5">
        <v>14</v>
      </c>
      <c r="U92" s="107">
        <v>13</v>
      </c>
      <c r="V92" s="107">
        <f t="shared" ca="1" si="8"/>
        <v>136.66666666666669</v>
      </c>
      <c r="W92" s="7">
        <f t="shared" ca="1" si="9"/>
        <v>145.20833333333334</v>
      </c>
      <c r="X92" s="1"/>
      <c r="Y92" s="1"/>
      <c r="Z92" s="1"/>
      <c r="AA92" s="1"/>
    </row>
    <row r="93" spans="20:27">
      <c r="T93" s="5">
        <v>15</v>
      </c>
      <c r="U93" s="107">
        <v>14</v>
      </c>
      <c r="V93" s="107">
        <f t="shared" ca="1" si="8"/>
        <v>119.58333333333334</v>
      </c>
      <c r="W93" s="7">
        <f t="shared" ca="1" si="9"/>
        <v>128.125</v>
      </c>
      <c r="X93" s="1"/>
      <c r="Y93" s="1"/>
      <c r="Z93" s="1"/>
      <c r="AA93" s="1"/>
    </row>
    <row r="94" spans="20:27">
      <c r="T94" s="5">
        <v>16</v>
      </c>
      <c r="U94" s="107">
        <v>15</v>
      </c>
      <c r="V94" s="107">
        <f t="shared" ca="1" si="8"/>
        <v>102.50000000000001</v>
      </c>
      <c r="W94" s="7">
        <f t="shared" ca="1" si="9"/>
        <v>111.04166666666669</v>
      </c>
      <c r="X94" s="1"/>
      <c r="Y94" s="1"/>
      <c r="Z94" s="1"/>
      <c r="AA94" s="1"/>
    </row>
    <row r="95" spans="20:27">
      <c r="T95" s="5">
        <v>17</v>
      </c>
      <c r="U95" s="107">
        <v>16</v>
      </c>
      <c r="V95" s="107">
        <f t="shared" ca="1" si="8"/>
        <v>96.805555555555571</v>
      </c>
      <c r="W95" s="7">
        <f t="shared" ca="1" si="9"/>
        <v>99.6527777777778</v>
      </c>
      <c r="X95" s="1"/>
      <c r="Y95" s="1"/>
      <c r="Z95" s="1"/>
      <c r="AA95" s="1"/>
    </row>
    <row r="96" spans="20:27">
      <c r="T96" s="5">
        <v>18</v>
      </c>
      <c r="U96" s="107">
        <v>17</v>
      </c>
      <c r="V96" s="107">
        <f t="shared" ca="1" si="8"/>
        <v>91.111111111111128</v>
      </c>
      <c r="W96" s="7">
        <f t="shared" ca="1" si="9"/>
        <v>93.958333333333343</v>
      </c>
      <c r="X96" s="1"/>
      <c r="Y96" s="1"/>
      <c r="Z96" s="1"/>
      <c r="AA96" s="1"/>
    </row>
    <row r="97" spans="20:27">
      <c r="T97" s="5">
        <v>19</v>
      </c>
      <c r="U97" s="107">
        <v>18</v>
      </c>
      <c r="V97" s="107">
        <f t="shared" ca="1" si="8"/>
        <v>85.416666666666686</v>
      </c>
      <c r="W97" s="7">
        <f t="shared" ca="1" si="9"/>
        <v>88.263888888888914</v>
      </c>
      <c r="X97" s="1"/>
      <c r="Y97" s="1"/>
      <c r="Z97" s="1"/>
      <c r="AA97" s="1"/>
    </row>
    <row r="98" spans="20:27">
      <c r="T98" s="5">
        <v>20</v>
      </c>
      <c r="U98" s="107">
        <v>19</v>
      </c>
      <c r="V98" s="107">
        <f t="shared" ca="1" si="8"/>
        <v>79.722222222222243</v>
      </c>
      <c r="W98" s="7">
        <f t="shared" ca="1" si="9"/>
        <v>82.569444444444457</v>
      </c>
      <c r="X98" s="1"/>
      <c r="Y98" s="1"/>
      <c r="Z98" s="1"/>
      <c r="AA98" s="1"/>
    </row>
    <row r="99" spans="20:27">
      <c r="T99" s="5">
        <v>21</v>
      </c>
      <c r="U99" s="107">
        <v>20</v>
      </c>
      <c r="V99" s="107">
        <f t="shared" ca="1" si="8"/>
        <v>74.0277777777778</v>
      </c>
      <c r="W99" s="7">
        <f t="shared" ca="1" si="9"/>
        <v>76.875000000000028</v>
      </c>
      <c r="X99" s="1"/>
      <c r="Y99" s="1"/>
      <c r="Z99" s="1"/>
      <c r="AA99" s="1"/>
    </row>
    <row r="100" spans="20:27">
      <c r="T100" s="5">
        <v>22</v>
      </c>
      <c r="U100" s="107">
        <v>21</v>
      </c>
      <c r="V100" s="107">
        <f t="shared" ca="1" si="8"/>
        <v>68.333333333333343</v>
      </c>
      <c r="W100" s="7">
        <f t="shared" ca="1" si="9"/>
        <v>71.180555555555571</v>
      </c>
      <c r="X100" s="1"/>
      <c r="Y100" s="1"/>
      <c r="Z100" s="1"/>
      <c r="AA100" s="1"/>
    </row>
    <row r="101" spans="20:27">
      <c r="T101" s="5">
        <v>23</v>
      </c>
      <c r="U101" s="107">
        <v>22</v>
      </c>
      <c r="V101" s="107">
        <f t="shared" ca="1" si="8"/>
        <v>62.6388888888889</v>
      </c>
      <c r="W101" s="7">
        <f t="shared" ca="1" si="9"/>
        <v>65.486111111111114</v>
      </c>
      <c r="X101" s="1"/>
      <c r="Y101" s="1"/>
      <c r="Z101" s="1"/>
      <c r="AA101" s="1"/>
    </row>
    <row r="102" spans="20:27">
      <c r="T102" s="5">
        <v>24</v>
      </c>
      <c r="U102" s="107">
        <v>23</v>
      </c>
      <c r="V102" s="107">
        <f t="shared" ca="1" si="8"/>
        <v>56.944444444444457</v>
      </c>
      <c r="W102" s="7">
        <f t="shared" ca="1" si="9"/>
        <v>59.791666666666679</v>
      </c>
      <c r="X102" s="1"/>
      <c r="Y102" s="1"/>
      <c r="Z102" s="1"/>
      <c r="AA102" s="1"/>
    </row>
    <row r="103" spans="20:27">
      <c r="T103" s="5">
        <v>25</v>
      </c>
      <c r="U103" s="107">
        <v>24</v>
      </c>
      <c r="V103" s="107">
        <f t="shared" ca="1" si="8"/>
        <v>51.25</v>
      </c>
      <c r="W103" s="7">
        <f t="shared" ca="1" si="9"/>
        <v>54.097222222222229</v>
      </c>
      <c r="X103" s="1"/>
      <c r="Y103" s="1"/>
      <c r="Z103" s="1"/>
      <c r="AA103" s="1"/>
    </row>
    <row r="104" spans="20:27">
      <c r="T104" s="5">
        <v>26</v>
      </c>
      <c r="U104" s="107">
        <v>25</v>
      </c>
      <c r="V104" s="107">
        <f t="shared" ca="1" si="8"/>
        <v>45.555555555555571</v>
      </c>
      <c r="W104" s="7">
        <f t="shared" ca="1" si="9"/>
        <v>48.402777777777786</v>
      </c>
      <c r="X104" s="1"/>
      <c r="Y104" s="1"/>
      <c r="Z104" s="1"/>
      <c r="AA104" s="1"/>
    </row>
    <row r="105" spans="20:27">
      <c r="T105" s="5">
        <v>27</v>
      </c>
      <c r="U105" s="107">
        <v>26</v>
      </c>
      <c r="V105" s="107">
        <f t="shared" ca="1" si="8"/>
        <v>39.861111111111114</v>
      </c>
      <c r="W105" s="7">
        <f t="shared" ca="1" si="9"/>
        <v>42.708333333333343</v>
      </c>
      <c r="X105" s="1"/>
      <c r="Y105" s="1"/>
      <c r="Z105" s="1"/>
      <c r="AA105" s="1"/>
    </row>
    <row r="106" spans="20:27">
      <c r="T106" s="5">
        <v>28</v>
      </c>
      <c r="U106" s="107">
        <v>27</v>
      </c>
      <c r="V106" s="107">
        <f t="shared" ca="1" si="8"/>
        <v>34.166666666666686</v>
      </c>
      <c r="W106" s="7">
        <f t="shared" ca="1" si="9"/>
        <v>37.0138888888889</v>
      </c>
      <c r="X106" s="1"/>
      <c r="Y106" s="1"/>
      <c r="Z106" s="1"/>
      <c r="AA106" s="1"/>
    </row>
    <row r="107" spans="20:27">
      <c r="T107" s="5">
        <v>29</v>
      </c>
      <c r="U107" s="107">
        <v>28</v>
      </c>
      <c r="V107" s="107">
        <f t="shared" ca="1" si="8"/>
        <v>28.472222222222229</v>
      </c>
      <c r="W107" s="7">
        <f t="shared" ca="1" si="9"/>
        <v>31.319444444444457</v>
      </c>
      <c r="X107" s="1"/>
      <c r="Y107" s="1"/>
      <c r="Z107" s="1"/>
      <c r="AA107" s="1"/>
    </row>
    <row r="108" spans="20:27">
      <c r="T108" s="5">
        <v>30</v>
      </c>
      <c r="U108" s="107">
        <v>29</v>
      </c>
      <c r="V108" s="107">
        <f t="shared" ca="1" si="8"/>
        <v>22.7777777777778</v>
      </c>
      <c r="W108" s="7">
        <f t="shared" ca="1" si="9"/>
        <v>25.625000000000014</v>
      </c>
      <c r="X108" s="1"/>
      <c r="Y108" s="1"/>
      <c r="Z108" s="1"/>
      <c r="AA108" s="1"/>
    </row>
    <row r="109" spans="20:27">
      <c r="T109" s="5">
        <v>31</v>
      </c>
      <c r="U109" s="107">
        <v>30</v>
      </c>
      <c r="V109" s="107">
        <f t="shared" ca="1" si="8"/>
        <v>17.083333333333343</v>
      </c>
      <c r="W109" s="7">
        <f t="shared" ca="1" si="9"/>
        <v>19.930555555555571</v>
      </c>
      <c r="X109" s="1"/>
      <c r="Y109" s="1"/>
      <c r="Z109" s="1"/>
      <c r="AA109" s="1"/>
    </row>
    <row r="110" spans="20:27">
      <c r="T110" s="5">
        <v>32</v>
      </c>
      <c r="U110" s="107">
        <v>31</v>
      </c>
      <c r="V110" s="107">
        <f t="shared" ca="1" si="8"/>
        <v>11.388888888888914</v>
      </c>
      <c r="W110" s="7">
        <f t="shared" ca="1" si="9"/>
        <v>14.236111111111128</v>
      </c>
      <c r="X110" s="1"/>
      <c r="Y110" s="1"/>
      <c r="Z110" s="1"/>
      <c r="AA110" s="1"/>
    </row>
    <row r="111" spans="20:27">
      <c r="T111" s="5">
        <v>33</v>
      </c>
      <c r="U111" s="107">
        <v>32</v>
      </c>
      <c r="V111" s="107">
        <f t="shared" ca="1" si="8"/>
        <v>5.6944444444444571</v>
      </c>
      <c r="W111" s="7">
        <f t="shared" ca="1" si="9"/>
        <v>8.5416666666666856</v>
      </c>
      <c r="X111" s="1"/>
      <c r="Y111" s="1"/>
      <c r="Z111" s="1"/>
      <c r="AA111" s="1"/>
    </row>
    <row r="112" spans="20:27">
      <c r="T112" s="5">
        <v>34</v>
      </c>
      <c r="U112" s="107">
        <v>33</v>
      </c>
      <c r="V112" s="107">
        <v>0</v>
      </c>
      <c r="W112" s="7">
        <f t="shared" ca="1" si="9"/>
        <v>2.8472222222222285</v>
      </c>
      <c r="X112" s="1"/>
      <c r="Y112" s="1"/>
      <c r="Z112" s="1"/>
      <c r="AA112" s="1"/>
    </row>
    <row r="113" spans="20:27">
      <c r="T113" s="138" t="s">
        <v>11</v>
      </c>
      <c r="U113" s="138"/>
      <c r="V113" s="138"/>
      <c r="W113" s="8">
        <f ca="1">SUM(W79:W112)</f>
        <v>2639.3750000000005</v>
      </c>
      <c r="X113" s="1"/>
      <c r="Y113" s="1"/>
      <c r="Z113" s="1"/>
      <c r="AA113" s="1"/>
    </row>
    <row r="114" spans="20:27">
      <c r="T114" s="1"/>
      <c r="U114" s="1"/>
      <c r="V114" s="1"/>
      <c r="W114" s="1"/>
      <c r="X114" s="1"/>
      <c r="Y114" s="1"/>
      <c r="Z114" s="1"/>
      <c r="AA114" s="1"/>
    </row>
    <row r="115" spans="20:27">
      <c r="T115" s="1"/>
      <c r="U115" s="1"/>
      <c r="V115" s="1"/>
      <c r="W115" s="1"/>
      <c r="X115" s="1"/>
      <c r="Y115" s="1"/>
      <c r="Z115" s="1"/>
      <c r="AA115" s="1"/>
    </row>
    <row r="116" spans="20:27">
      <c r="T116" s="1"/>
      <c r="U116" s="1"/>
      <c r="V116" s="1"/>
      <c r="W116" s="1"/>
      <c r="X116" s="1"/>
      <c r="Y116" s="1"/>
      <c r="Z116" s="1"/>
      <c r="AA116" s="1"/>
    </row>
    <row r="117" spans="20:27">
      <c r="T117" s="1"/>
      <c r="U117" s="1"/>
      <c r="V117" s="1"/>
      <c r="W117" s="1"/>
      <c r="X117" s="1"/>
      <c r="Y117" s="1"/>
      <c r="Z117" s="1"/>
      <c r="AA117" s="1"/>
    </row>
    <row r="118" spans="20:27">
      <c r="T118" s="1"/>
      <c r="U118" s="1"/>
      <c r="V118" s="1"/>
      <c r="W118" s="1"/>
      <c r="X118" s="1"/>
      <c r="Y118" s="1"/>
      <c r="Z118" s="1"/>
      <c r="AA118" s="1"/>
    </row>
    <row r="119" spans="20:27">
      <c r="T119" s="1"/>
      <c r="U119" s="1"/>
      <c r="V119" s="1"/>
      <c r="W119" s="1"/>
      <c r="X119" s="1"/>
      <c r="Y119" s="1"/>
      <c r="Z119" s="1"/>
      <c r="AA119" s="1"/>
    </row>
    <row r="120" spans="20:27">
      <c r="T120" s="1"/>
      <c r="U120" s="1"/>
      <c r="V120" s="1"/>
      <c r="W120" s="1"/>
      <c r="X120" s="1"/>
      <c r="Y120" s="1"/>
      <c r="Z120" s="1"/>
      <c r="AA120" s="1"/>
    </row>
    <row r="121" spans="20:27">
      <c r="T121" s="1"/>
      <c r="U121" s="1"/>
      <c r="V121" s="1"/>
      <c r="W121" s="1"/>
      <c r="X121" s="1"/>
      <c r="Y121" s="1"/>
      <c r="Z121" s="1"/>
      <c r="AA121" s="1"/>
    </row>
    <row r="122" spans="20:27">
      <c r="T122" s="1"/>
      <c r="U122" s="1"/>
      <c r="V122" s="1"/>
      <c r="W122" s="1"/>
      <c r="X122" s="1"/>
      <c r="Y122" s="1"/>
      <c r="Z122" s="1"/>
      <c r="AA122" s="1"/>
    </row>
    <row r="123" spans="20:27">
      <c r="T123" s="1"/>
      <c r="U123" s="1"/>
      <c r="V123" s="1"/>
      <c r="W123" s="1"/>
      <c r="X123" s="1"/>
      <c r="Y123" s="1"/>
      <c r="Z123" s="1"/>
      <c r="AA123" s="1"/>
    </row>
    <row r="124" spans="20:27">
      <c r="T124" s="1"/>
      <c r="U124" s="1"/>
      <c r="V124" s="1"/>
      <c r="W124" s="1"/>
      <c r="X124" s="1"/>
      <c r="Y124" s="1"/>
      <c r="Z124" s="1"/>
      <c r="AA124" s="1"/>
    </row>
    <row r="125" spans="20:27">
      <c r="T125" s="1"/>
      <c r="U125" s="1"/>
      <c r="V125" s="1"/>
      <c r="W125" s="1"/>
      <c r="X125" s="1"/>
      <c r="Y125" s="1"/>
      <c r="Z125" s="1"/>
      <c r="AA125" s="1"/>
    </row>
    <row r="126" spans="20:27">
      <c r="T126" s="1"/>
      <c r="U126" s="1"/>
      <c r="V126" s="1"/>
      <c r="W126" s="1"/>
      <c r="X126" s="1"/>
      <c r="Y126" s="1"/>
      <c r="Z126" s="1"/>
      <c r="AA126" s="1"/>
    </row>
    <row r="127" spans="20:27">
      <c r="T127" s="1"/>
      <c r="U127" s="1"/>
      <c r="V127" s="1"/>
      <c r="W127" s="1"/>
      <c r="X127" s="1"/>
      <c r="Y127" s="1"/>
      <c r="Z127" s="1"/>
      <c r="AA127" s="1"/>
    </row>
    <row r="128" spans="20:27">
      <c r="T128" s="1"/>
      <c r="U128" s="1"/>
      <c r="V128" s="1"/>
      <c r="W128" s="1"/>
      <c r="X128" s="1"/>
      <c r="Y128" s="1"/>
      <c r="Z128" s="1"/>
      <c r="AA128" s="1"/>
    </row>
    <row r="129" spans="20:27">
      <c r="T129" s="1"/>
      <c r="U129" s="1"/>
      <c r="V129" s="1"/>
      <c r="W129" s="1"/>
      <c r="X129" s="1"/>
      <c r="Y129" s="1"/>
      <c r="Z129" s="1"/>
      <c r="AA129" s="1"/>
    </row>
    <row r="130" spans="20:27">
      <c r="T130" s="1"/>
      <c r="U130" s="1"/>
      <c r="V130" s="1"/>
      <c r="W130" s="1"/>
      <c r="X130" s="1"/>
      <c r="Y130" s="1"/>
      <c r="Z130" s="1"/>
      <c r="AA130" s="1"/>
    </row>
    <row r="131" spans="20:27">
      <c r="T131" s="1"/>
      <c r="U131" s="1"/>
      <c r="V131" s="1"/>
      <c r="W131" s="1"/>
      <c r="X131" s="1"/>
      <c r="Y131" s="1"/>
      <c r="Z131" s="1"/>
      <c r="AA131" s="1"/>
    </row>
    <row r="132" spans="20:27">
      <c r="T132" s="1"/>
      <c r="U132" s="1"/>
      <c r="V132" s="1"/>
      <c r="W132" s="1"/>
      <c r="X132" s="1"/>
      <c r="Y132" s="1"/>
      <c r="Z132" s="1"/>
      <c r="AA132" s="1"/>
    </row>
    <row r="133" spans="20:27">
      <c r="T133" s="1"/>
      <c r="U133" s="1"/>
      <c r="V133" s="1"/>
      <c r="W133" s="1"/>
      <c r="X133" s="1"/>
      <c r="Y133" s="1"/>
      <c r="Z133" s="1"/>
      <c r="AA133" s="1"/>
    </row>
    <row r="134" spans="20:27">
      <c r="T134" s="1"/>
      <c r="U134" s="1"/>
      <c r="V134" s="1"/>
      <c r="W134" s="1"/>
      <c r="X134" s="1"/>
      <c r="Y134" s="1"/>
      <c r="Z134" s="1"/>
      <c r="AA134" s="1"/>
    </row>
    <row r="135" spans="20:27">
      <c r="T135" s="1"/>
      <c r="U135" s="1"/>
      <c r="V135" s="1"/>
      <c r="W135" s="1"/>
      <c r="X135" s="1"/>
      <c r="Y135" s="1"/>
      <c r="Z135" s="1"/>
      <c r="AA135" s="1"/>
    </row>
    <row r="136" spans="20:27">
      <c r="T136" s="1"/>
      <c r="U136" s="1"/>
      <c r="V136" s="1"/>
      <c r="W136" s="1"/>
      <c r="X136" s="1"/>
      <c r="Y136" s="1"/>
      <c r="Z136" s="1"/>
      <c r="AA136" s="1"/>
    </row>
    <row r="137" spans="20:27">
      <c r="T137" s="1"/>
      <c r="U137" s="1"/>
      <c r="V137" s="1"/>
      <c r="W137" s="1"/>
      <c r="X137" s="1"/>
      <c r="Y137" s="1"/>
      <c r="Z137" s="1"/>
      <c r="AA137" s="1"/>
    </row>
    <row r="138" spans="20:27">
      <c r="T138" s="1"/>
      <c r="U138" s="1"/>
      <c r="V138" s="1"/>
      <c r="W138" s="1"/>
      <c r="X138" s="1"/>
      <c r="Y138" s="1"/>
      <c r="Z138" s="1"/>
      <c r="AA138" s="1"/>
    </row>
    <row r="139" spans="20:27">
      <c r="T139" s="1"/>
      <c r="U139" s="1"/>
      <c r="V139" s="1"/>
      <c r="W139" s="1"/>
      <c r="X139" s="1"/>
      <c r="Y139" s="1"/>
      <c r="Z139" s="1"/>
      <c r="AA139" s="1"/>
    </row>
    <row r="140" spans="20:27">
      <c r="T140" s="1"/>
      <c r="U140" s="1"/>
      <c r="V140" s="1"/>
      <c r="W140" s="1"/>
      <c r="X140" s="1"/>
      <c r="Y140" s="1"/>
      <c r="Z140" s="1"/>
      <c r="AA140" s="1"/>
    </row>
    <row r="141" spans="20:27">
      <c r="T141" s="1"/>
      <c r="U141" s="1"/>
      <c r="V141" s="1"/>
      <c r="W141" s="1"/>
      <c r="X141" s="1"/>
      <c r="Y141" s="1"/>
      <c r="Z141" s="1"/>
      <c r="AA141" s="1"/>
    </row>
    <row r="142" spans="20:27">
      <c r="T142" s="1"/>
      <c r="U142" s="1"/>
      <c r="V142" s="1"/>
      <c r="W142" s="1"/>
      <c r="X142" s="1"/>
      <c r="Y142" s="1"/>
      <c r="Z142" s="1"/>
      <c r="AA142" s="1"/>
    </row>
    <row r="159" spans="20:22" ht="15.6">
      <c r="T159" s="35" t="s">
        <v>98</v>
      </c>
      <c r="U159" s="34"/>
      <c r="V159" s="34"/>
    </row>
    <row r="160" spans="20:22" ht="15.6">
      <c r="T160" s="36" t="s">
        <v>99</v>
      </c>
      <c r="U160" s="34"/>
      <c r="V160" s="34"/>
    </row>
    <row r="161" spans="20:22" ht="15.6">
      <c r="T161" s="34"/>
      <c r="U161" s="37">
        <f ca="1">W113</f>
        <v>2639.3750000000005</v>
      </c>
      <c r="V161" s="34" t="s">
        <v>100</v>
      </c>
    </row>
    <row r="162" spans="20:22" ht="15.6">
      <c r="T162" s="36"/>
      <c r="U162" s="37">
        <f ca="1">U161*60*60/10000</f>
        <v>950.17500000000018</v>
      </c>
      <c r="V162" s="34" t="s">
        <v>101</v>
      </c>
    </row>
    <row r="163" spans="20:22" ht="15.6">
      <c r="T163" s="36" t="s">
        <v>102</v>
      </c>
      <c r="U163" s="38">
        <f ca="1">U162/Y11</f>
        <v>1.0854056956169111</v>
      </c>
      <c r="V163" s="36" t="s">
        <v>103</v>
      </c>
    </row>
    <row r="164" spans="20:22" ht="15.6">
      <c r="T164" s="34"/>
      <c r="U164" s="35" t="s">
        <v>104</v>
      </c>
      <c r="V164" s="34"/>
    </row>
  </sheetData>
  <mergeCells count="7">
    <mergeCell ref="T1:AC2"/>
    <mergeCell ref="T77:W77"/>
    <mergeCell ref="T113:V113"/>
    <mergeCell ref="P3:Q3"/>
    <mergeCell ref="T31:Y31"/>
    <mergeCell ref="T38:Z38"/>
    <mergeCell ref="T67:W67"/>
  </mergeCells>
  <conditionalFormatting sqref="Z43">
    <cfRule type="cellIs" dxfId="17" priority="1" operator="notEqual">
      <formula>#REF!</formula>
    </cfRule>
  </conditionalFormatting>
  <dataValidations count="1">
    <dataValidation type="list" allowBlank="1" showInputMessage="1" showErrorMessage="1" sqref="U4" xr:uid="{162727B2-5BB8-4426-8EC5-9183CB7CBD2C}">
      <formula1>$A$5:$A$19</formula1>
    </dataValidation>
  </dataValidations>
  <pageMargins left="0.70866141732283472" right="0.70866141732283472" top="0.74803149606299213" bottom="0.74803149606299213" header="0.31496062992125984" footer="0.31496062992125984"/>
  <pageSetup scale="65" orientation="portrait" r:id="rId1"/>
  <rowBreaks count="1" manualBreakCount="1">
    <brk id="66" min="19" max="2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AB9D7-206A-4AF2-9E78-66A5E8CC4115}">
  <sheetPr codeName="Sheet2">
    <pageSetUpPr fitToPage="1"/>
  </sheetPr>
  <dimension ref="A2:AC147"/>
  <sheetViews>
    <sheetView view="pageBreakPreview" topLeftCell="C1" zoomScale="60" zoomScaleNormal="40" zoomScalePageLayoutView="50" workbookViewId="0">
      <selection activeCell="K3" sqref="K3:L5"/>
    </sheetView>
  </sheetViews>
  <sheetFormatPr defaultRowHeight="14.4"/>
  <cols>
    <col min="2" max="2" width="23.77734375" customWidth="1"/>
    <col min="3" max="3" width="13.109375" customWidth="1"/>
    <col min="4" max="4" width="15" customWidth="1"/>
    <col min="5" max="5" width="12.6640625" customWidth="1"/>
    <col min="7" max="7" width="17.5546875" customWidth="1"/>
    <col min="8" max="8" width="20.21875" customWidth="1"/>
    <col min="9" max="9" width="15.21875" customWidth="1"/>
    <col min="10" max="10" width="14.109375" customWidth="1"/>
    <col min="11" max="11" width="13.77734375" customWidth="1"/>
    <col min="12" max="12" width="11.44140625" customWidth="1"/>
    <col min="13" max="14" width="10.5546875" customWidth="1"/>
    <col min="15" max="15" width="15.77734375" customWidth="1"/>
    <col min="16" max="16" width="11.5546875" customWidth="1"/>
    <col min="17" max="17" width="11.6640625" customWidth="1"/>
    <col min="18" max="18" width="10.88671875" customWidth="1"/>
    <col min="19" max="19" width="8" bestFit="1" customWidth="1"/>
    <col min="27" max="27" width="9.6640625" bestFit="1" customWidth="1"/>
    <col min="28" max="28" width="7.77734375" bestFit="1" customWidth="1"/>
    <col min="29" max="29" width="14.6640625" customWidth="1"/>
  </cols>
  <sheetData>
    <row r="2" spans="1:27">
      <c r="A2" s="145" t="s">
        <v>111</v>
      </c>
      <c r="B2" s="145"/>
      <c r="C2" s="145"/>
      <c r="D2" s="145"/>
      <c r="E2" s="145"/>
      <c r="G2" s="146" t="s">
        <v>112</v>
      </c>
      <c r="H2" s="147"/>
      <c r="I2" s="92">
        <f>E8/10</f>
        <v>39.307010495751364</v>
      </c>
      <c r="J2" s="39" t="s">
        <v>103</v>
      </c>
      <c r="N2" s="151" t="s">
        <v>175</v>
      </c>
      <c r="O2" s="151"/>
    </row>
    <row r="3" spans="1:27" s="48" customFormat="1" ht="28.2" customHeight="1">
      <c r="A3" s="144" t="s">
        <v>105</v>
      </c>
      <c r="B3" s="145" t="s">
        <v>108</v>
      </c>
      <c r="C3" s="145"/>
      <c r="D3" s="144" t="s">
        <v>109</v>
      </c>
      <c r="E3" s="144" t="s">
        <v>110</v>
      </c>
      <c r="G3" s="148" t="s">
        <v>113</v>
      </c>
      <c r="H3" s="149"/>
      <c r="I3" s="120">
        <v>1.1499999999999999</v>
      </c>
      <c r="J3" s="82"/>
      <c r="K3" s="155" t="s">
        <v>1000</v>
      </c>
      <c r="L3" s="156"/>
      <c r="N3" s="116" t="s">
        <v>176</v>
      </c>
      <c r="O3" s="117" t="s">
        <v>177</v>
      </c>
    </row>
    <row r="4" spans="1:27" ht="31.2" customHeight="1">
      <c r="A4" s="144"/>
      <c r="B4" s="114" t="s">
        <v>106</v>
      </c>
      <c r="C4" s="114" t="s">
        <v>107</v>
      </c>
      <c r="D4" s="144"/>
      <c r="E4" s="144"/>
      <c r="G4" s="148" t="s">
        <v>114</v>
      </c>
      <c r="H4" s="149"/>
      <c r="I4" s="121">
        <v>1.1200000000000001</v>
      </c>
      <c r="J4" s="39"/>
      <c r="K4" s="155" t="s">
        <v>1001</v>
      </c>
      <c r="L4" s="156"/>
      <c r="N4" s="40">
        <v>500</v>
      </c>
      <c r="O4" s="40">
        <v>0.94</v>
      </c>
    </row>
    <row r="5" spans="1:27" ht="27" customHeight="1">
      <c r="A5" s="77">
        <v>178.60653743</v>
      </c>
      <c r="B5" s="40">
        <v>380</v>
      </c>
      <c r="C5" s="40">
        <v>390</v>
      </c>
      <c r="D5" s="40">
        <v>385</v>
      </c>
      <c r="E5" s="77">
        <v>78.550443085256632</v>
      </c>
      <c r="G5" s="153" t="s">
        <v>115</v>
      </c>
      <c r="H5" s="154"/>
      <c r="I5" s="122">
        <f>_xlfn.FORECAST.LINEAR(SUH!$Y$11,'24hr SPS'!$O$4:$O$10,'24hr SPS'!$N$4:$N$10)</f>
        <v>0.91854596211453743</v>
      </c>
      <c r="J5" s="39"/>
      <c r="K5" s="155" t="s">
        <v>1002</v>
      </c>
      <c r="L5" s="156"/>
      <c r="N5" s="40">
        <v>1000</v>
      </c>
      <c r="O5" s="40">
        <v>0.91</v>
      </c>
    </row>
    <row r="6" spans="1:27">
      <c r="A6" s="77">
        <v>687.13690876099997</v>
      </c>
      <c r="B6" s="40">
        <v>390</v>
      </c>
      <c r="C6" s="40">
        <v>400</v>
      </c>
      <c r="D6" s="40">
        <v>395</v>
      </c>
      <c r="E6" s="77">
        <v>310.04942550976438</v>
      </c>
      <c r="G6" s="148" t="s">
        <v>117</v>
      </c>
      <c r="H6" s="149"/>
      <c r="I6" s="122">
        <f>I2*I3*I5</f>
        <v>41.52109013971608</v>
      </c>
      <c r="J6" s="39" t="s">
        <v>103</v>
      </c>
      <c r="N6" s="40">
        <v>1500</v>
      </c>
      <c r="O6" s="40">
        <v>0.9</v>
      </c>
    </row>
    <row r="7" spans="1:27">
      <c r="A7" s="77">
        <v>9.6623976171100008</v>
      </c>
      <c r="B7" s="40">
        <v>400</v>
      </c>
      <c r="C7" s="40">
        <v>410</v>
      </c>
      <c r="D7" s="40">
        <v>405</v>
      </c>
      <c r="E7" s="77">
        <v>4.4702363624926225</v>
      </c>
      <c r="G7" s="148" t="s">
        <v>116</v>
      </c>
      <c r="H7" s="149"/>
      <c r="I7" s="122">
        <f>I6*I4</f>
        <v>46.503620956482017</v>
      </c>
      <c r="J7" s="39"/>
      <c r="N7" s="40">
        <v>2000</v>
      </c>
      <c r="O7" s="40">
        <v>0.88</v>
      </c>
    </row>
    <row r="8" spans="1:27">
      <c r="A8" s="90">
        <v>875.40584380810992</v>
      </c>
      <c r="B8" s="40"/>
      <c r="C8" s="40"/>
      <c r="D8" s="40"/>
      <c r="E8" s="90">
        <v>393.07010495751365</v>
      </c>
      <c r="G8" s="148" t="s">
        <v>190</v>
      </c>
      <c r="H8" s="149"/>
      <c r="I8" s="77">
        <f>I7*B27/100</f>
        <v>33.947643298231874</v>
      </c>
      <c r="J8" s="39" t="s">
        <v>103</v>
      </c>
      <c r="N8" s="40">
        <v>3000</v>
      </c>
      <c r="O8" s="40">
        <v>0.86</v>
      </c>
    </row>
    <row r="9" spans="1:27">
      <c r="A9" s="55"/>
      <c r="B9" s="29"/>
      <c r="C9" s="29"/>
      <c r="D9" s="29"/>
      <c r="E9" s="55"/>
      <c r="G9" s="148" t="s">
        <v>191</v>
      </c>
      <c r="H9" s="149"/>
      <c r="I9" s="77">
        <f>I7-I8</f>
        <v>12.555977658250143</v>
      </c>
      <c r="J9" s="39" t="s">
        <v>103</v>
      </c>
      <c r="N9" s="40">
        <v>4000</v>
      </c>
      <c r="O9" s="40">
        <v>0.83</v>
      </c>
    </row>
    <row r="10" spans="1:27">
      <c r="A10" s="55"/>
      <c r="B10" s="29"/>
      <c r="C10" s="29"/>
      <c r="D10" s="29"/>
      <c r="E10" s="55"/>
      <c r="G10" s="148" t="s">
        <v>119</v>
      </c>
      <c r="H10" s="149"/>
      <c r="I10" s="40" t="s">
        <v>120</v>
      </c>
      <c r="J10" s="39"/>
      <c r="N10" s="40">
        <v>5000</v>
      </c>
      <c r="O10" s="40">
        <v>0.81</v>
      </c>
    </row>
    <row r="11" spans="1:27">
      <c r="A11" s="55"/>
      <c r="B11" s="29"/>
      <c r="C11" s="29"/>
      <c r="D11" s="29"/>
      <c r="E11" s="55"/>
    </row>
    <row r="12" spans="1:27">
      <c r="A12" s="111"/>
      <c r="B12" s="29"/>
      <c r="C12" s="29"/>
      <c r="D12" s="29"/>
      <c r="E12" s="112"/>
    </row>
    <row r="13" spans="1:27">
      <c r="A13" s="29"/>
      <c r="B13" s="29"/>
      <c r="C13" s="29"/>
      <c r="D13" s="29"/>
    </row>
    <row r="14" spans="1:27" ht="18">
      <c r="A14" s="29"/>
      <c r="B14" s="29"/>
      <c r="C14" s="29"/>
      <c r="D14" s="29"/>
      <c r="E14" s="29"/>
      <c r="G14" s="150" t="s">
        <v>133</v>
      </c>
      <c r="H14" s="150"/>
      <c r="I14" s="150"/>
      <c r="J14" s="150"/>
      <c r="K14" s="150"/>
      <c r="L14" s="150"/>
      <c r="M14" s="150"/>
    </row>
    <row r="15" spans="1:27" ht="43.2">
      <c r="A15" s="116" t="s">
        <v>118</v>
      </c>
      <c r="B15" s="117" t="s">
        <v>180</v>
      </c>
      <c r="C15" s="152" t="s">
        <v>179</v>
      </c>
      <c r="D15" s="152"/>
      <c r="G15" s="117" t="s">
        <v>134</v>
      </c>
      <c r="H15" s="117" t="s">
        <v>135</v>
      </c>
      <c r="I15" s="117" t="s">
        <v>136</v>
      </c>
      <c r="J15" s="117" t="s">
        <v>137</v>
      </c>
      <c r="K15" s="117" t="s">
        <v>138</v>
      </c>
      <c r="L15" s="117" t="s">
        <v>139</v>
      </c>
      <c r="M15" s="117" t="s">
        <v>140</v>
      </c>
      <c r="R15" s="68"/>
      <c r="S15" s="68"/>
      <c r="T15" s="68"/>
      <c r="U15" s="68"/>
      <c r="X15" s="68"/>
      <c r="Y15" s="68"/>
      <c r="Z15" s="68"/>
      <c r="AA15" s="68"/>
    </row>
    <row r="16" spans="1:27">
      <c r="A16" s="45">
        <v>1</v>
      </c>
      <c r="B16" s="45">
        <f>Sheet3!N4</f>
        <v>15.1</v>
      </c>
      <c r="C16" s="75">
        <f>B16/$B$27</f>
        <v>0.20684931506849313</v>
      </c>
      <c r="D16" s="40">
        <v>21</v>
      </c>
      <c r="G16" s="45">
        <v>1</v>
      </c>
      <c r="H16" s="45">
        <f t="shared" ref="H16:H27" si="0">D16</f>
        <v>21</v>
      </c>
      <c r="I16" s="45">
        <f>H16</f>
        <v>21</v>
      </c>
      <c r="J16" s="45">
        <f>H16</f>
        <v>21</v>
      </c>
      <c r="K16" s="45">
        <f>I16</f>
        <v>21</v>
      </c>
      <c r="L16" s="50">
        <f>(J16*$I$8)/100</f>
        <v>7.1290050926286934</v>
      </c>
      <c r="M16" s="50">
        <f t="shared" ref="M16:M27" si="1">(K16*$I$9)/100</f>
        <v>2.6367553082325297</v>
      </c>
    </row>
    <row r="17" spans="1:14">
      <c r="A17" s="45">
        <v>2</v>
      </c>
      <c r="B17" s="45">
        <f>Sheet3!N5</f>
        <v>25.5</v>
      </c>
      <c r="C17" s="47">
        <f t="shared" ref="C17:C27" si="2">B17/$B$27</f>
        <v>0.34931506849315069</v>
      </c>
      <c r="D17" s="40">
        <v>35</v>
      </c>
      <c r="G17" s="45">
        <v>2</v>
      </c>
      <c r="H17" s="45">
        <f t="shared" si="0"/>
        <v>35</v>
      </c>
      <c r="I17" s="45">
        <f t="shared" ref="I17:I27" si="3">H17</f>
        <v>35</v>
      </c>
      <c r="J17" s="51">
        <f>H17-H16</f>
        <v>14</v>
      </c>
      <c r="K17" s="51">
        <f>I17-I16</f>
        <v>14</v>
      </c>
      <c r="L17" s="50">
        <f t="shared" ref="L17:L27" si="4">(J17*$I$8)/100</f>
        <v>4.7526700617524629</v>
      </c>
      <c r="M17" s="50">
        <f t="shared" si="1"/>
        <v>1.7578368721550199</v>
      </c>
    </row>
    <row r="18" spans="1:14">
      <c r="A18" s="45">
        <v>3</v>
      </c>
      <c r="B18" s="45">
        <f>Sheet3!N6</f>
        <v>31.6</v>
      </c>
      <c r="C18" s="47">
        <f t="shared" si="2"/>
        <v>0.43287671232876712</v>
      </c>
      <c r="D18" s="40">
        <v>43</v>
      </c>
      <c r="G18" s="45">
        <v>3</v>
      </c>
      <c r="H18" s="45">
        <f t="shared" si="0"/>
        <v>43</v>
      </c>
      <c r="I18" s="45">
        <f t="shared" si="3"/>
        <v>43</v>
      </c>
      <c r="J18" s="51">
        <f t="shared" ref="J18:J27" si="5">H18-H17</f>
        <v>8</v>
      </c>
      <c r="K18" s="51">
        <f t="shared" ref="K18:K27" si="6">I18-I17</f>
        <v>8</v>
      </c>
      <c r="L18" s="50">
        <f t="shared" si="4"/>
        <v>2.7158114638585498</v>
      </c>
      <c r="M18" s="50">
        <f t="shared" si="1"/>
        <v>1.0044782126600114</v>
      </c>
    </row>
    <row r="19" spans="1:14">
      <c r="A19" s="45">
        <v>4</v>
      </c>
      <c r="B19" s="45">
        <f>Sheet3!N7</f>
        <v>36.9</v>
      </c>
      <c r="C19" s="47">
        <f t="shared" si="2"/>
        <v>0.5054794520547945</v>
      </c>
      <c r="D19" s="40">
        <v>51</v>
      </c>
      <c r="G19" s="45">
        <v>4</v>
      </c>
      <c r="H19" s="45">
        <f t="shared" si="0"/>
        <v>51</v>
      </c>
      <c r="I19" s="45">
        <f t="shared" si="3"/>
        <v>51</v>
      </c>
      <c r="J19" s="51">
        <f t="shared" si="5"/>
        <v>8</v>
      </c>
      <c r="K19" s="51">
        <f t="shared" si="6"/>
        <v>8</v>
      </c>
      <c r="L19" s="50">
        <f t="shared" si="4"/>
        <v>2.7158114638585498</v>
      </c>
      <c r="M19" s="50">
        <f t="shared" si="1"/>
        <v>1.0044782126600114</v>
      </c>
    </row>
    <row r="20" spans="1:14">
      <c r="A20" s="45">
        <v>5</v>
      </c>
      <c r="B20" s="45">
        <f>Sheet3!N8</f>
        <v>42.2</v>
      </c>
      <c r="C20" s="47">
        <f t="shared" si="2"/>
        <v>0.57808219178082199</v>
      </c>
      <c r="D20" s="40">
        <v>58</v>
      </c>
      <c r="G20" s="45">
        <v>5</v>
      </c>
      <c r="H20" s="45">
        <f t="shared" si="0"/>
        <v>58</v>
      </c>
      <c r="I20" s="45">
        <f t="shared" si="3"/>
        <v>58</v>
      </c>
      <c r="J20" s="51">
        <f t="shared" si="5"/>
        <v>7</v>
      </c>
      <c r="K20" s="51">
        <f t="shared" si="6"/>
        <v>7</v>
      </c>
      <c r="L20" s="50">
        <f t="shared" si="4"/>
        <v>2.3763350308762314</v>
      </c>
      <c r="M20" s="50">
        <f t="shared" si="1"/>
        <v>0.87891843607750997</v>
      </c>
    </row>
    <row r="21" spans="1:14">
      <c r="A21" s="45">
        <v>6</v>
      </c>
      <c r="B21" s="45">
        <f>Sheet3!N9</f>
        <v>47.1</v>
      </c>
      <c r="C21" s="47">
        <f t="shared" si="2"/>
        <v>0.64520547945205486</v>
      </c>
      <c r="D21" s="40">
        <v>65</v>
      </c>
      <c r="G21" s="45">
        <v>6</v>
      </c>
      <c r="H21" s="45">
        <f t="shared" si="0"/>
        <v>65</v>
      </c>
      <c r="I21" s="45">
        <f t="shared" si="3"/>
        <v>65</v>
      </c>
      <c r="J21" s="51">
        <f t="shared" si="5"/>
        <v>7</v>
      </c>
      <c r="K21" s="51">
        <f t="shared" si="6"/>
        <v>7</v>
      </c>
      <c r="L21" s="50">
        <f t="shared" si="4"/>
        <v>2.3763350308762314</v>
      </c>
      <c r="M21" s="50">
        <f t="shared" si="1"/>
        <v>0.87891843607750997</v>
      </c>
    </row>
    <row r="22" spans="1:14">
      <c r="A22" s="45">
        <v>7</v>
      </c>
      <c r="B22" s="45">
        <f>Sheet3!N10</f>
        <v>51.8</v>
      </c>
      <c r="C22" s="47">
        <f t="shared" si="2"/>
        <v>0.70958904109589038</v>
      </c>
      <c r="D22" s="40">
        <v>71</v>
      </c>
      <c r="G22" s="45">
        <v>7</v>
      </c>
      <c r="H22" s="45">
        <f t="shared" si="0"/>
        <v>71</v>
      </c>
      <c r="I22" s="45">
        <f t="shared" si="3"/>
        <v>71</v>
      </c>
      <c r="J22" s="51">
        <f t="shared" si="5"/>
        <v>6</v>
      </c>
      <c r="K22" s="51">
        <f t="shared" si="6"/>
        <v>6</v>
      </c>
      <c r="L22" s="50">
        <f t="shared" si="4"/>
        <v>2.0368585978939127</v>
      </c>
      <c r="M22" s="50">
        <f t="shared" si="1"/>
        <v>0.75335865949500858</v>
      </c>
    </row>
    <row r="23" spans="1:14">
      <c r="A23" s="45">
        <v>8</v>
      </c>
      <c r="B23" s="45">
        <f>Sheet3!N11</f>
        <v>56.4</v>
      </c>
      <c r="C23" s="47">
        <f t="shared" si="2"/>
        <v>0.77260273972602733</v>
      </c>
      <c r="D23" s="40">
        <v>77</v>
      </c>
      <c r="G23" s="45">
        <v>8</v>
      </c>
      <c r="H23" s="45">
        <f t="shared" si="0"/>
        <v>77</v>
      </c>
      <c r="I23" s="45">
        <f t="shared" si="3"/>
        <v>77</v>
      </c>
      <c r="J23" s="51">
        <f t="shared" si="5"/>
        <v>6</v>
      </c>
      <c r="K23" s="51">
        <f t="shared" si="6"/>
        <v>6</v>
      </c>
      <c r="L23" s="50">
        <f t="shared" si="4"/>
        <v>2.0368585978939127</v>
      </c>
      <c r="M23" s="50">
        <f t="shared" si="1"/>
        <v>0.75335865949500858</v>
      </c>
    </row>
    <row r="24" spans="1:14">
      <c r="A24" s="45">
        <v>9</v>
      </c>
      <c r="B24" s="45">
        <f>Sheet3!N12</f>
        <v>60.8</v>
      </c>
      <c r="C24" s="47">
        <f t="shared" si="2"/>
        <v>0.83287671232876703</v>
      </c>
      <c r="D24" s="40">
        <v>83</v>
      </c>
      <c r="G24" s="45">
        <v>9</v>
      </c>
      <c r="H24" s="45">
        <f t="shared" si="0"/>
        <v>83</v>
      </c>
      <c r="I24" s="45">
        <f t="shared" si="3"/>
        <v>83</v>
      </c>
      <c r="J24" s="51">
        <f t="shared" si="5"/>
        <v>6</v>
      </c>
      <c r="K24" s="51">
        <f t="shared" si="6"/>
        <v>6</v>
      </c>
      <c r="L24" s="50">
        <f t="shared" si="4"/>
        <v>2.0368585978939127</v>
      </c>
      <c r="M24" s="50">
        <f t="shared" si="1"/>
        <v>0.75335865949500858</v>
      </c>
    </row>
    <row r="25" spans="1:14">
      <c r="A25" s="45">
        <v>10</v>
      </c>
      <c r="B25" s="45">
        <f>Sheet3!N13</f>
        <v>65.2</v>
      </c>
      <c r="C25" s="47">
        <f t="shared" si="2"/>
        <v>0.89315068493150684</v>
      </c>
      <c r="D25" s="40">
        <v>89</v>
      </c>
      <c r="G25" s="45">
        <v>10</v>
      </c>
      <c r="H25" s="45">
        <f t="shared" si="0"/>
        <v>89</v>
      </c>
      <c r="I25" s="45">
        <f t="shared" si="3"/>
        <v>89</v>
      </c>
      <c r="J25" s="51">
        <f t="shared" si="5"/>
        <v>6</v>
      </c>
      <c r="K25" s="51">
        <f t="shared" si="6"/>
        <v>6</v>
      </c>
      <c r="L25" s="50">
        <f t="shared" si="4"/>
        <v>2.0368585978939127</v>
      </c>
      <c r="M25" s="50">
        <f t="shared" si="1"/>
        <v>0.75335865949500858</v>
      </c>
    </row>
    <row r="26" spans="1:14">
      <c r="A26" s="45">
        <v>11</v>
      </c>
      <c r="B26" s="45">
        <f>Sheet3!N14</f>
        <v>69.3</v>
      </c>
      <c r="C26" s="47">
        <f t="shared" si="2"/>
        <v>0.94931506849315062</v>
      </c>
      <c r="D26" s="40">
        <v>95</v>
      </c>
      <c r="G26" s="45">
        <v>11</v>
      </c>
      <c r="H26" s="45">
        <f t="shared" si="0"/>
        <v>95</v>
      </c>
      <c r="I26" s="45">
        <f t="shared" si="3"/>
        <v>95</v>
      </c>
      <c r="J26" s="51">
        <f t="shared" si="5"/>
        <v>6</v>
      </c>
      <c r="K26" s="51">
        <f t="shared" si="6"/>
        <v>6</v>
      </c>
      <c r="L26" s="50">
        <f t="shared" si="4"/>
        <v>2.0368585978939127</v>
      </c>
      <c r="M26" s="50">
        <f t="shared" si="1"/>
        <v>0.75335865949500858</v>
      </c>
    </row>
    <row r="27" spans="1:14">
      <c r="A27" s="45">
        <v>12</v>
      </c>
      <c r="B27" s="45">
        <f>Sheet3!N15</f>
        <v>73</v>
      </c>
      <c r="C27" s="47">
        <f t="shared" si="2"/>
        <v>1</v>
      </c>
      <c r="D27" s="40">
        <v>100</v>
      </c>
      <c r="G27" s="45">
        <v>12</v>
      </c>
      <c r="H27" s="45">
        <f t="shared" si="0"/>
        <v>100</v>
      </c>
      <c r="I27" s="45">
        <f t="shared" si="3"/>
        <v>100</v>
      </c>
      <c r="J27" s="51">
        <f t="shared" si="5"/>
        <v>5</v>
      </c>
      <c r="K27" s="51">
        <f t="shared" si="6"/>
        <v>5</v>
      </c>
      <c r="L27" s="50">
        <f t="shared" si="4"/>
        <v>1.6973821649115937</v>
      </c>
      <c r="M27" s="50">
        <f t="shared" si="1"/>
        <v>0.62779888291250718</v>
      </c>
    </row>
    <row r="28" spans="1:14">
      <c r="A28" s="45">
        <v>13</v>
      </c>
      <c r="B28" s="45">
        <f>Sheet3!N16</f>
        <v>76.3</v>
      </c>
      <c r="G28" s="29" t="s">
        <v>141</v>
      </c>
      <c r="J28" s="52">
        <f>SUM(J16:J27)</f>
        <v>100</v>
      </c>
      <c r="K28" s="52">
        <f>SUM(K16:K27)</f>
        <v>100</v>
      </c>
      <c r="L28" s="53">
        <f t="shared" ref="L28:M28" si="7">SUM(L16:L27)</f>
        <v>33.947643298231867</v>
      </c>
      <c r="M28" s="53">
        <f t="shared" si="7"/>
        <v>12.555977658250141</v>
      </c>
    </row>
    <row r="29" spans="1:14">
      <c r="A29" s="45">
        <v>14</v>
      </c>
      <c r="B29" s="45">
        <f>Sheet3!N17</f>
        <v>79.3</v>
      </c>
    </row>
    <row r="30" spans="1:14">
      <c r="A30" s="45">
        <v>15</v>
      </c>
      <c r="B30" s="45">
        <f>Sheet3!N18</f>
        <v>81.900000000000006</v>
      </c>
      <c r="G30" t="s">
        <v>142</v>
      </c>
      <c r="K30" s="17"/>
      <c r="L30" s="54"/>
      <c r="M30" s="17"/>
      <c r="N30" s="55"/>
    </row>
    <row r="31" spans="1:14">
      <c r="A31" s="45">
        <v>16</v>
      </c>
      <c r="B31" s="45">
        <f>Sheet3!N19</f>
        <v>84.4</v>
      </c>
      <c r="G31" s="71" t="str">
        <f>"Excess rainfall arrangement with consideration of uniform loss at "&amp;SUH!Y14&amp;" cm/hr"</f>
        <v>Excess rainfall arrangement with consideration of uniform loss at 0.23 cm/hr</v>
      </c>
      <c r="H31" s="17"/>
      <c r="I31" s="17"/>
      <c r="K31" s="17"/>
      <c r="L31" s="54"/>
      <c r="M31" s="17"/>
      <c r="N31" s="55"/>
    </row>
    <row r="32" spans="1:14">
      <c r="A32" s="45">
        <v>17</v>
      </c>
      <c r="B32" s="45">
        <f>Sheet3!N20</f>
        <v>86.9</v>
      </c>
      <c r="G32" s="17"/>
      <c r="H32" s="17"/>
      <c r="I32" s="56"/>
      <c r="J32" s="54"/>
      <c r="K32" s="54"/>
      <c r="L32" s="54"/>
      <c r="M32" s="17"/>
      <c r="N32" s="55"/>
    </row>
    <row r="33" spans="1:15" ht="28.8">
      <c r="A33" s="45">
        <v>18</v>
      </c>
      <c r="B33" s="45">
        <f>Sheet3!N21</f>
        <v>89.2</v>
      </c>
      <c r="G33" s="116" t="s">
        <v>118</v>
      </c>
      <c r="H33" s="116" t="s">
        <v>143</v>
      </c>
      <c r="I33" s="152" t="s">
        <v>144</v>
      </c>
      <c r="J33" s="152"/>
      <c r="K33" s="117" t="s">
        <v>145</v>
      </c>
      <c r="L33" s="152" t="s">
        <v>146</v>
      </c>
      <c r="M33" s="152"/>
      <c r="N33" s="152" t="s">
        <v>147</v>
      </c>
      <c r="O33" s="152"/>
    </row>
    <row r="34" spans="1:15">
      <c r="A34" s="45">
        <v>19</v>
      </c>
      <c r="B34" s="45">
        <f>Sheet3!N22</f>
        <v>91.5</v>
      </c>
      <c r="G34" s="119"/>
      <c r="H34" s="118"/>
      <c r="I34" s="116" t="s">
        <v>148</v>
      </c>
      <c r="J34" s="116" t="s">
        <v>149</v>
      </c>
      <c r="K34" s="116">
        <f>SUH!$Y$14</f>
        <v>0.23</v>
      </c>
      <c r="L34" s="116" t="s">
        <v>148</v>
      </c>
      <c r="M34" s="116" t="s">
        <v>149</v>
      </c>
      <c r="N34" s="116" t="s">
        <v>186</v>
      </c>
      <c r="O34" s="116" t="s">
        <v>187</v>
      </c>
    </row>
    <row r="35" spans="1:15">
      <c r="A35" s="45">
        <v>20</v>
      </c>
      <c r="B35" s="45">
        <f>Sheet3!N23</f>
        <v>93.7</v>
      </c>
      <c r="G35" s="57">
        <v>1</v>
      </c>
      <c r="H35" s="58">
        <f ca="1">SUH!V85</f>
        <v>102.5</v>
      </c>
      <c r="I35" s="50">
        <f ca="1">LARGE($L$16:$L$27,_xlfn.RANK.AVG(H35,$H$35:$H$46,0))</f>
        <v>2.0368585978939127</v>
      </c>
      <c r="J35" s="50">
        <f ca="1">LARGE($M$16:$M$27,_xlfn.RANK.AVG(H35,$H$35:$H$46,0))</f>
        <v>0.75335865949500858</v>
      </c>
      <c r="K35" s="50">
        <f>K34</f>
        <v>0.23</v>
      </c>
      <c r="L35" s="59">
        <f ca="1">I35-K35</f>
        <v>1.8068585978939127</v>
      </c>
      <c r="M35" s="59">
        <f ca="1">IF((J35-K35)&lt;0,0,(J35-K35))</f>
        <v>0.52335865949500859</v>
      </c>
      <c r="N35" s="60">
        <f ca="1">L46</f>
        <v>1.4673821649115937</v>
      </c>
      <c r="O35" s="60">
        <f ca="1">M46</f>
        <v>0.3977988829125072</v>
      </c>
    </row>
    <row r="36" spans="1:15">
      <c r="A36" s="45">
        <v>21</v>
      </c>
      <c r="B36" s="45">
        <f>Sheet3!N24</f>
        <v>95.5</v>
      </c>
      <c r="G36" s="57">
        <v>2</v>
      </c>
      <c r="H36" s="58">
        <f ca="1">SUH!V86</f>
        <v>153.75</v>
      </c>
      <c r="I36" s="50">
        <f t="shared" ref="I36:I46" ca="1" si="8">LARGE($L$16:$L$27,_xlfn.RANK.AVG(H36,$H$35:$H$46,0))</f>
        <v>2.3763350308762314</v>
      </c>
      <c r="J36" s="50">
        <f t="shared" ref="J36:J46" ca="1" si="9">LARGE($M$16:$M$27,_xlfn.RANK.AVG(H36,$H$35:$H$46,0))</f>
        <v>0.87891843607750997</v>
      </c>
      <c r="K36" s="50">
        <f t="shared" ref="K36:K45" si="10">K35</f>
        <v>0.23</v>
      </c>
      <c r="L36" s="59">
        <f t="shared" ref="L36:L45" ca="1" si="11">I36-K36</f>
        <v>2.1463350308762315</v>
      </c>
      <c r="M36" s="59">
        <f t="shared" ref="M36:M46" ca="1" si="12">IF((J36-K36)&lt;0,0,(J36-K36))</f>
        <v>0.64891843607750999</v>
      </c>
      <c r="N36" s="60">
        <f ca="1">L45</f>
        <v>1.8068585978939127</v>
      </c>
      <c r="O36" s="60">
        <f ca="1">M45</f>
        <v>0.52335865949500859</v>
      </c>
    </row>
    <row r="37" spans="1:15">
      <c r="A37" s="45">
        <v>22</v>
      </c>
      <c r="B37" s="45">
        <f>Sheet3!N25</f>
        <v>97.3</v>
      </c>
      <c r="G37" s="57">
        <v>3</v>
      </c>
      <c r="H37" s="58">
        <f ca="1">SUH!V87</f>
        <v>179.375</v>
      </c>
      <c r="I37" s="50">
        <f t="shared" ca="1" si="8"/>
        <v>2.7158114638585498</v>
      </c>
      <c r="J37" s="50">
        <f t="shared" ca="1" si="9"/>
        <v>1.0044782126600114</v>
      </c>
      <c r="K37" s="50">
        <f t="shared" si="10"/>
        <v>0.23</v>
      </c>
      <c r="L37" s="59">
        <f t="shared" ca="1" si="11"/>
        <v>2.4858114638585498</v>
      </c>
      <c r="M37" s="59">
        <f t="shared" ca="1" si="12"/>
        <v>0.77447821266001138</v>
      </c>
      <c r="N37" s="60">
        <f ca="1">L44</f>
        <v>1.8068585978939127</v>
      </c>
      <c r="O37" s="60">
        <f ca="1">M44</f>
        <v>0.52335865949500859</v>
      </c>
    </row>
    <row r="38" spans="1:15">
      <c r="A38" s="45">
        <v>23</v>
      </c>
      <c r="B38" s="45">
        <f>Sheet3!N26</f>
        <v>98.9</v>
      </c>
      <c r="G38" s="57">
        <v>4</v>
      </c>
      <c r="H38" s="58">
        <f ca="1">SUH!V88</f>
        <v>205</v>
      </c>
      <c r="I38" s="50">
        <f t="shared" ca="1" si="8"/>
        <v>7.1290050926286934</v>
      </c>
      <c r="J38" s="50">
        <f t="shared" ca="1" si="9"/>
        <v>2.6367553082325297</v>
      </c>
      <c r="K38" s="50">
        <f t="shared" si="10"/>
        <v>0.23</v>
      </c>
      <c r="L38" s="59">
        <f t="shared" ca="1" si="11"/>
        <v>6.899005092628693</v>
      </c>
      <c r="M38" s="59">
        <f t="shared" ca="1" si="12"/>
        <v>2.4067553082325297</v>
      </c>
      <c r="N38" s="60">
        <f ca="1">L43</f>
        <v>1.8068585978939127</v>
      </c>
      <c r="O38" s="60">
        <f ca="1">M43</f>
        <v>0.52335865949500859</v>
      </c>
    </row>
    <row r="39" spans="1:15">
      <c r="A39" s="45">
        <v>24</v>
      </c>
      <c r="B39" s="45">
        <f>Sheet3!N27</f>
        <v>100</v>
      </c>
      <c r="G39" s="57">
        <v>5</v>
      </c>
      <c r="H39" s="58">
        <f ca="1">SUH!V89</f>
        <v>187.91666666666669</v>
      </c>
      <c r="I39" s="50">
        <f t="shared" ca="1" si="8"/>
        <v>4.7526700617524629</v>
      </c>
      <c r="J39" s="50">
        <f t="shared" ca="1" si="9"/>
        <v>1.7578368721550199</v>
      </c>
      <c r="K39" s="50">
        <f t="shared" si="10"/>
        <v>0.23</v>
      </c>
      <c r="L39" s="59">
        <f t="shared" ca="1" si="11"/>
        <v>4.5226700617524624</v>
      </c>
      <c r="M39" s="59">
        <f t="shared" ca="1" si="12"/>
        <v>1.52783687215502</v>
      </c>
      <c r="N39" s="60">
        <f ca="1">L42</f>
        <v>1.8068585978939127</v>
      </c>
      <c r="O39" s="60">
        <f ca="1">M42</f>
        <v>0.52335865949500859</v>
      </c>
    </row>
    <row r="40" spans="1:15">
      <c r="G40" s="57">
        <v>6</v>
      </c>
      <c r="H40" s="58">
        <f ca="1">SUH!V90</f>
        <v>170.83333333333334</v>
      </c>
      <c r="I40" s="50">
        <f t="shared" ca="1" si="8"/>
        <v>2.7158114638585498</v>
      </c>
      <c r="J40" s="50">
        <f t="shared" ca="1" si="9"/>
        <v>1.0044782126600114</v>
      </c>
      <c r="K40" s="50">
        <f t="shared" si="10"/>
        <v>0.23</v>
      </c>
      <c r="L40" s="59">
        <f t="shared" ca="1" si="11"/>
        <v>2.4858114638585498</v>
      </c>
      <c r="M40" s="59">
        <f t="shared" ca="1" si="12"/>
        <v>0.77447821266001138</v>
      </c>
      <c r="N40" s="60">
        <f ca="1">L41</f>
        <v>2.1463350308762315</v>
      </c>
      <c r="O40" s="60">
        <f ca="1">M41</f>
        <v>0.64891843607750999</v>
      </c>
    </row>
    <row r="41" spans="1:15">
      <c r="G41" s="57">
        <v>7</v>
      </c>
      <c r="H41" s="58">
        <f ca="1">SUH!V91</f>
        <v>153.75</v>
      </c>
      <c r="I41" s="50">
        <f t="shared" ca="1" si="8"/>
        <v>2.3763350308762314</v>
      </c>
      <c r="J41" s="50">
        <f t="shared" ca="1" si="9"/>
        <v>0.87891843607750997</v>
      </c>
      <c r="K41" s="50">
        <f t="shared" si="10"/>
        <v>0.23</v>
      </c>
      <c r="L41" s="59">
        <f t="shared" ca="1" si="11"/>
        <v>2.1463350308762315</v>
      </c>
      <c r="M41" s="59">
        <f t="shared" ca="1" si="12"/>
        <v>0.64891843607750999</v>
      </c>
      <c r="N41" s="60">
        <f ca="1">L40</f>
        <v>2.4858114638585498</v>
      </c>
      <c r="O41" s="60">
        <f ca="1">M40</f>
        <v>0.77447821266001138</v>
      </c>
    </row>
    <row r="42" spans="1:15">
      <c r="G42" s="57">
        <v>8</v>
      </c>
      <c r="H42" s="58">
        <f ca="1">SUH!V92</f>
        <v>136.66666666666669</v>
      </c>
      <c r="I42" s="50">
        <f t="shared" ca="1" si="8"/>
        <v>2.0368585978939127</v>
      </c>
      <c r="J42" s="50">
        <f t="shared" ca="1" si="9"/>
        <v>0.75335865949500858</v>
      </c>
      <c r="K42" s="50">
        <f t="shared" si="10"/>
        <v>0.23</v>
      </c>
      <c r="L42" s="59">
        <f t="shared" ca="1" si="11"/>
        <v>1.8068585978939127</v>
      </c>
      <c r="M42" s="59">
        <f t="shared" ca="1" si="12"/>
        <v>0.52335865949500859</v>
      </c>
      <c r="N42" s="60">
        <f ca="1">L39</f>
        <v>4.5226700617524624</v>
      </c>
      <c r="O42" s="60">
        <f ca="1">M39</f>
        <v>1.52783687215502</v>
      </c>
    </row>
    <row r="43" spans="1:15">
      <c r="G43" s="57">
        <v>9</v>
      </c>
      <c r="H43" s="58">
        <f ca="1">SUH!V93</f>
        <v>119.58333333333334</v>
      </c>
      <c r="I43" s="50">
        <f t="shared" ca="1" si="8"/>
        <v>2.0368585978939127</v>
      </c>
      <c r="J43" s="50">
        <f t="shared" ca="1" si="9"/>
        <v>0.75335865949500858</v>
      </c>
      <c r="K43" s="50">
        <f t="shared" si="10"/>
        <v>0.23</v>
      </c>
      <c r="L43" s="59">
        <f t="shared" ca="1" si="11"/>
        <v>1.8068585978939127</v>
      </c>
      <c r="M43" s="59">
        <f t="shared" ca="1" si="12"/>
        <v>0.52335865949500859</v>
      </c>
      <c r="N43" s="60">
        <f ca="1">L38</f>
        <v>6.899005092628693</v>
      </c>
      <c r="O43" s="60">
        <f ca="1">M38</f>
        <v>2.4067553082325297</v>
      </c>
    </row>
    <row r="44" spans="1:15">
      <c r="G44" s="57">
        <v>10</v>
      </c>
      <c r="H44" s="58">
        <f ca="1">SUH!V94</f>
        <v>102.50000000000001</v>
      </c>
      <c r="I44" s="50">
        <f t="shared" ca="1" si="8"/>
        <v>2.0368585978939127</v>
      </c>
      <c r="J44" s="50">
        <f t="shared" ca="1" si="9"/>
        <v>0.75335865949500858</v>
      </c>
      <c r="K44" s="50">
        <f t="shared" si="10"/>
        <v>0.23</v>
      </c>
      <c r="L44" s="59">
        <f t="shared" ca="1" si="11"/>
        <v>1.8068585978939127</v>
      </c>
      <c r="M44" s="59">
        <f t="shared" ca="1" si="12"/>
        <v>0.52335865949500859</v>
      </c>
      <c r="N44" s="60">
        <f ca="1">L37</f>
        <v>2.4858114638585498</v>
      </c>
      <c r="O44" s="60">
        <f ca="1">M37</f>
        <v>0.77447821266001138</v>
      </c>
    </row>
    <row r="45" spans="1:15">
      <c r="G45" s="57">
        <v>11</v>
      </c>
      <c r="H45" s="58">
        <f ca="1">SUH!V95</f>
        <v>96.805555555555571</v>
      </c>
      <c r="I45" s="50">
        <f t="shared" ca="1" si="8"/>
        <v>2.0368585978939127</v>
      </c>
      <c r="J45" s="50">
        <f t="shared" ca="1" si="9"/>
        <v>0.75335865949500858</v>
      </c>
      <c r="K45" s="50">
        <f t="shared" si="10"/>
        <v>0.23</v>
      </c>
      <c r="L45" s="59">
        <f t="shared" ca="1" si="11"/>
        <v>1.8068585978939127</v>
      </c>
      <c r="M45" s="59">
        <f t="shared" ca="1" si="12"/>
        <v>0.52335865949500859</v>
      </c>
      <c r="N45" s="60">
        <f ca="1">L36</f>
        <v>2.1463350308762315</v>
      </c>
      <c r="O45" s="60">
        <f ca="1">M36</f>
        <v>0.64891843607750999</v>
      </c>
    </row>
    <row r="46" spans="1:15">
      <c r="G46" s="57">
        <v>12</v>
      </c>
      <c r="H46" s="58">
        <f ca="1">SUH!V96</f>
        <v>91.111111111111128</v>
      </c>
      <c r="I46" s="50">
        <f t="shared" ca="1" si="8"/>
        <v>1.6973821649115937</v>
      </c>
      <c r="J46" s="50">
        <f t="shared" ca="1" si="9"/>
        <v>0.62779888291250718</v>
      </c>
      <c r="K46" s="50">
        <f>K45</f>
        <v>0.23</v>
      </c>
      <c r="L46" s="59">
        <f ca="1">I46-K46</f>
        <v>1.4673821649115937</v>
      </c>
      <c r="M46" s="59">
        <f t="shared" ca="1" si="12"/>
        <v>0.3977988829125072</v>
      </c>
      <c r="N46" s="60">
        <f ca="1">L35</f>
        <v>1.8068585978939127</v>
      </c>
      <c r="O46" s="60">
        <f ca="1">M35</f>
        <v>0.52335865949500859</v>
      </c>
    </row>
    <row r="47" spans="1:15">
      <c r="G47" s="61" t="s">
        <v>141</v>
      </c>
      <c r="H47" s="61"/>
      <c r="I47" s="61">
        <f ca="1">SUM(I35:I46)</f>
        <v>33.947643298231874</v>
      </c>
      <c r="J47" s="61">
        <f ca="1">SUM(J35:J46)</f>
        <v>12.555977658250143</v>
      </c>
      <c r="K47" s="61"/>
      <c r="L47" s="61">
        <f ca="1">SUM(L35:L46)</f>
        <v>31.18764329823188</v>
      </c>
      <c r="M47" s="61">
        <f ca="1">SUM(M35:M46)</f>
        <v>9.7959776582501412</v>
      </c>
      <c r="N47" s="61">
        <f ca="1">SUM(N35:N46)</f>
        <v>31.187643298231873</v>
      </c>
      <c r="O47" s="61">
        <f ca="1">SUM(O35:O46)</f>
        <v>9.795977658250143</v>
      </c>
    </row>
    <row r="52" spans="1:29" ht="43.2">
      <c r="A52" s="80" t="s">
        <v>134</v>
      </c>
      <c r="B52" s="80" t="s">
        <v>171</v>
      </c>
      <c r="C52" s="81">
        <v>1.4673821649115937</v>
      </c>
      <c r="D52" s="81">
        <v>1.8068585978939127</v>
      </c>
      <c r="E52" s="81">
        <v>1.8068585978939127</v>
      </c>
      <c r="F52" s="81">
        <v>1.8068585978939127</v>
      </c>
      <c r="G52" s="81">
        <v>1.8068585978939127</v>
      </c>
      <c r="H52" s="81">
        <v>2.1463350308762315</v>
      </c>
      <c r="I52" s="81">
        <v>2.4858114638585498</v>
      </c>
      <c r="J52" s="81">
        <v>4.5226700617524624</v>
      </c>
      <c r="K52" s="81">
        <v>6.899005092628693</v>
      </c>
      <c r="L52" s="81">
        <v>2.4858114638585498</v>
      </c>
      <c r="M52" s="81">
        <v>2.1463350308762315</v>
      </c>
      <c r="N52" s="81">
        <v>1.8068585978939127</v>
      </c>
      <c r="O52" s="78">
        <v>0.3977988829125072</v>
      </c>
      <c r="P52" s="78">
        <v>0.52335865949500859</v>
      </c>
      <c r="Q52" s="78">
        <v>0.52335865949500859</v>
      </c>
      <c r="R52" s="78">
        <v>0.52335865949500859</v>
      </c>
      <c r="S52" s="78">
        <v>0.52335865949500859</v>
      </c>
      <c r="T52" s="78">
        <v>0.64891843607750999</v>
      </c>
      <c r="U52" s="78">
        <v>0.77447821266001138</v>
      </c>
      <c r="V52" s="78">
        <v>1.52783687215502</v>
      </c>
      <c r="W52" s="78">
        <v>2.4067553082325297</v>
      </c>
      <c r="X52" s="78">
        <v>0.77447821266001138</v>
      </c>
      <c r="Y52" s="78">
        <v>0.64891843607750999</v>
      </c>
      <c r="Z52" s="78">
        <v>0.52335865949500859</v>
      </c>
      <c r="AA52" s="80" t="s">
        <v>218</v>
      </c>
      <c r="AB52" s="80" t="s">
        <v>168</v>
      </c>
      <c r="AC52" s="80" t="s">
        <v>217</v>
      </c>
    </row>
    <row r="53" spans="1:29">
      <c r="A53" s="57">
        <f>SUH!U79</f>
        <v>0</v>
      </c>
      <c r="B53" s="57">
        <f ca="1">SUH!V79</f>
        <v>0</v>
      </c>
      <c r="C53" s="77">
        <v>0</v>
      </c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50">
        <v>0</v>
      </c>
      <c r="AB53" s="60">
        <f>SUH!$Y$11*SUH!$Y$15</f>
        <v>15.757379999999998</v>
      </c>
      <c r="AC53" s="57">
        <f>AA53+AB53</f>
        <v>15.757379999999998</v>
      </c>
    </row>
    <row r="54" spans="1:29">
      <c r="A54" s="57">
        <f>SUH!U80</f>
        <v>1</v>
      </c>
      <c r="B54" s="57">
        <f ca="1">SUH!V80</f>
        <v>17.083333333333332</v>
      </c>
      <c r="C54" s="77">
        <v>25.067778650573057</v>
      </c>
      <c r="D54" s="77">
        <v>0</v>
      </c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50">
        <v>25.067778650573057</v>
      </c>
      <c r="AB54" s="60">
        <f>SUH!$Y$11*SUH!$Y$15</f>
        <v>15.757379999999998</v>
      </c>
      <c r="AC54" s="57">
        <f t="shared" ref="AC54:AC109" si="13">AA54+AB54</f>
        <v>40.825158650573059</v>
      </c>
    </row>
    <row r="55" spans="1:29">
      <c r="A55" s="57">
        <f>SUH!U81</f>
        <v>2</v>
      </c>
      <c r="B55" s="57">
        <f ca="1">SUH!V81</f>
        <v>34.166666666666664</v>
      </c>
      <c r="C55" s="77">
        <v>50.135557301146115</v>
      </c>
      <c r="D55" s="77">
        <v>30.867167714021004</v>
      </c>
      <c r="E55" s="77">
        <v>0</v>
      </c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50">
        <v>81.002725015167115</v>
      </c>
      <c r="AB55" s="60">
        <f>SUH!$Y$11*SUH!$Y$15</f>
        <v>15.757379999999998</v>
      </c>
      <c r="AC55" s="57">
        <f t="shared" si="13"/>
        <v>96.760105015167113</v>
      </c>
    </row>
    <row r="56" spans="1:29">
      <c r="A56" s="57">
        <f>SUH!U82</f>
        <v>3</v>
      </c>
      <c r="B56" s="57">
        <f ca="1">SUH!V82</f>
        <v>51.25</v>
      </c>
      <c r="C56" s="77">
        <v>75.203335951719183</v>
      </c>
      <c r="D56" s="77">
        <v>61.734335428042009</v>
      </c>
      <c r="E56" s="77">
        <v>30.867167714021004</v>
      </c>
      <c r="F56" s="77">
        <v>0</v>
      </c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50">
        <v>167.80483909378219</v>
      </c>
      <c r="AB56" s="60">
        <f>SUH!$Y$11*SUH!$Y$15</f>
        <v>15.757379999999998</v>
      </c>
      <c r="AC56" s="57">
        <f t="shared" si="13"/>
        <v>183.56221909378218</v>
      </c>
    </row>
    <row r="57" spans="1:29">
      <c r="A57" s="57">
        <f>SUH!U83</f>
        <v>4</v>
      </c>
      <c r="B57" s="57">
        <f ca="1">SUH!V83</f>
        <v>68.333333333333329</v>
      </c>
      <c r="C57" s="77">
        <v>100.27111460229223</v>
      </c>
      <c r="D57" s="77">
        <v>92.601503142063024</v>
      </c>
      <c r="E57" s="77">
        <v>61.734335428042009</v>
      </c>
      <c r="F57" s="77">
        <v>30.867167714021004</v>
      </c>
      <c r="G57" s="77">
        <v>0</v>
      </c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50">
        <v>285.47412088641823</v>
      </c>
      <c r="AB57" s="60">
        <f>SUH!$Y$11*SUH!$Y$15</f>
        <v>15.757379999999998</v>
      </c>
      <c r="AC57" s="57">
        <f t="shared" si="13"/>
        <v>301.23150088641825</v>
      </c>
    </row>
    <row r="58" spans="1:29">
      <c r="A58" s="57">
        <f>SUH!U84</f>
        <v>5</v>
      </c>
      <c r="B58" s="57">
        <f ca="1">SUH!V84</f>
        <v>85.416666666666657</v>
      </c>
      <c r="C58" s="77">
        <v>125.33889325286528</v>
      </c>
      <c r="D58" s="77">
        <v>123.46867085608402</v>
      </c>
      <c r="E58" s="77">
        <v>92.601503142063024</v>
      </c>
      <c r="F58" s="77">
        <v>61.734335428042009</v>
      </c>
      <c r="G58" s="77">
        <v>30.867167714021004</v>
      </c>
      <c r="H58" s="77">
        <v>0</v>
      </c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50">
        <v>434.01057039307528</v>
      </c>
      <c r="AB58" s="60">
        <f>SUH!$Y$11*SUH!$Y$15</f>
        <v>15.757379999999998</v>
      </c>
      <c r="AC58" s="57">
        <f t="shared" si="13"/>
        <v>449.7679503930753</v>
      </c>
    </row>
    <row r="59" spans="1:29">
      <c r="A59" s="57">
        <f>SUH!U85</f>
        <v>6</v>
      </c>
      <c r="B59" s="57">
        <f ca="1">SUH!V85</f>
        <v>102.5</v>
      </c>
      <c r="C59" s="77">
        <v>150.40667190343837</v>
      </c>
      <c r="D59" s="77">
        <v>154.33583857010501</v>
      </c>
      <c r="E59" s="77">
        <v>123.46867085608402</v>
      </c>
      <c r="F59" s="77">
        <v>92.601503142063024</v>
      </c>
      <c r="G59" s="77">
        <v>61.734335428042009</v>
      </c>
      <c r="H59" s="77">
        <v>36.666556777468955</v>
      </c>
      <c r="I59" s="77">
        <v>0</v>
      </c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50">
        <v>619.21357667720133</v>
      </c>
      <c r="AB59" s="60">
        <f>SUH!$Y$11*SUH!$Y$15</f>
        <v>15.757379999999998</v>
      </c>
      <c r="AC59" s="57">
        <f t="shared" si="13"/>
        <v>634.97095667720134</v>
      </c>
    </row>
    <row r="60" spans="1:29">
      <c r="A60" s="57">
        <f>SUH!U86</f>
        <v>7</v>
      </c>
      <c r="B60" s="57">
        <f ca="1">SUH!V86</f>
        <v>153.75</v>
      </c>
      <c r="C60" s="77">
        <v>225.61000785515753</v>
      </c>
      <c r="D60" s="77">
        <v>185.20300628412605</v>
      </c>
      <c r="E60" s="77">
        <v>154.33583857010501</v>
      </c>
      <c r="F60" s="77">
        <v>123.46867085608402</v>
      </c>
      <c r="G60" s="77">
        <v>92.601503142063024</v>
      </c>
      <c r="H60" s="77">
        <v>73.33311355493791</v>
      </c>
      <c r="I60" s="77">
        <v>42.465945840916888</v>
      </c>
      <c r="J60" s="77">
        <v>0</v>
      </c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50">
        <v>897.01808610339049</v>
      </c>
      <c r="AB60" s="60">
        <f>SUH!$Y$11*SUH!$Y$15</f>
        <v>15.757379999999998</v>
      </c>
      <c r="AC60" s="57">
        <f t="shared" si="13"/>
        <v>912.7754661033905</v>
      </c>
    </row>
    <row r="61" spans="1:29">
      <c r="A61" s="57">
        <f>SUH!U87</f>
        <v>8</v>
      </c>
      <c r="B61" s="57">
        <f ca="1">SUH!V87</f>
        <v>179.375</v>
      </c>
      <c r="C61" s="77">
        <v>263.21167583101709</v>
      </c>
      <c r="D61" s="77">
        <v>277.8045094261891</v>
      </c>
      <c r="E61" s="77">
        <v>185.20300628412605</v>
      </c>
      <c r="F61" s="77">
        <v>154.33583857010501</v>
      </c>
      <c r="G61" s="77">
        <v>123.46867085608402</v>
      </c>
      <c r="H61" s="77">
        <v>109.99967033240686</v>
      </c>
      <c r="I61" s="77">
        <v>84.931891681833775</v>
      </c>
      <c r="J61" s="77">
        <v>77.262280221604556</v>
      </c>
      <c r="K61" s="77">
        <v>0</v>
      </c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50">
        <v>1276.2175432033664</v>
      </c>
      <c r="AB61" s="60">
        <f>SUH!$Y$11*SUH!$Y$15</f>
        <v>15.757379999999998</v>
      </c>
      <c r="AC61" s="57">
        <f t="shared" si="13"/>
        <v>1291.9749232033664</v>
      </c>
    </row>
    <row r="62" spans="1:29">
      <c r="A62" s="57">
        <f>SUH!U88</f>
        <v>9</v>
      </c>
      <c r="B62" s="57">
        <f ca="1">SUH!V88</f>
        <v>205</v>
      </c>
      <c r="C62" s="77">
        <v>300.81334380687673</v>
      </c>
      <c r="D62" s="77">
        <v>324.10526099722057</v>
      </c>
      <c r="E62" s="77">
        <v>277.8045094261891</v>
      </c>
      <c r="F62" s="77">
        <v>185.20300628412605</v>
      </c>
      <c r="G62" s="77">
        <v>154.33583857010501</v>
      </c>
      <c r="H62" s="77">
        <v>146.66622710987582</v>
      </c>
      <c r="I62" s="77">
        <v>127.39783752275068</v>
      </c>
      <c r="J62" s="77">
        <v>154.52456044320911</v>
      </c>
      <c r="K62" s="77">
        <v>117.85800366574017</v>
      </c>
      <c r="L62" s="77">
        <v>0</v>
      </c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50">
        <v>1788.7085878260932</v>
      </c>
      <c r="AB62" s="60">
        <f>SUH!$Y$11*SUH!$Y$15</f>
        <v>15.757379999999998</v>
      </c>
      <c r="AC62" s="57">
        <f t="shared" si="13"/>
        <v>1804.4659678260932</v>
      </c>
    </row>
    <row r="63" spans="1:29">
      <c r="A63" s="57">
        <f>SUH!U89</f>
        <v>10</v>
      </c>
      <c r="B63" s="57">
        <f ca="1">SUH!V89</f>
        <v>187.91666666666669</v>
      </c>
      <c r="C63" s="77">
        <v>275.74556515630366</v>
      </c>
      <c r="D63" s="77">
        <v>370.40601256825209</v>
      </c>
      <c r="E63" s="77">
        <v>324.10526099722057</v>
      </c>
      <c r="F63" s="77">
        <v>277.8045094261891</v>
      </c>
      <c r="G63" s="77">
        <v>185.20300628412605</v>
      </c>
      <c r="H63" s="77">
        <v>183.33278388734476</v>
      </c>
      <c r="I63" s="77">
        <v>169.86378336366755</v>
      </c>
      <c r="J63" s="77">
        <v>231.7868406648137</v>
      </c>
      <c r="K63" s="77">
        <v>235.71600733148034</v>
      </c>
      <c r="L63" s="77">
        <v>42.465945840916888</v>
      </c>
      <c r="M63" s="77">
        <v>0</v>
      </c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50">
        <v>2296.4297155203149</v>
      </c>
      <c r="AB63" s="60">
        <f>SUH!$Y$11*SUH!$Y$15</f>
        <v>15.757379999999998</v>
      </c>
      <c r="AC63" s="57">
        <f t="shared" si="13"/>
        <v>2312.1870955203149</v>
      </c>
    </row>
    <row r="64" spans="1:29">
      <c r="A64" s="57">
        <f>SUH!U90</f>
        <v>11</v>
      </c>
      <c r="B64" s="57">
        <f ca="1">SUH!V90</f>
        <v>170.83333333333334</v>
      </c>
      <c r="C64" s="77">
        <v>250.67778650573061</v>
      </c>
      <c r="D64" s="77">
        <v>339.53884485423112</v>
      </c>
      <c r="E64" s="77">
        <v>370.40601256825209</v>
      </c>
      <c r="F64" s="77">
        <v>324.10526099722057</v>
      </c>
      <c r="G64" s="77">
        <v>277.8045094261891</v>
      </c>
      <c r="H64" s="77">
        <v>219.99934066481373</v>
      </c>
      <c r="I64" s="77">
        <v>212.32972920458442</v>
      </c>
      <c r="J64" s="77">
        <v>309.04912088641822</v>
      </c>
      <c r="K64" s="77">
        <v>353.57401099722051</v>
      </c>
      <c r="L64" s="77">
        <v>84.931891681833775</v>
      </c>
      <c r="M64" s="77">
        <v>36.666556777468955</v>
      </c>
      <c r="N64" s="77">
        <v>0</v>
      </c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50">
        <v>2779.0830645639626</v>
      </c>
      <c r="AB64" s="60">
        <f>SUH!$Y$11*SUH!$Y$15</f>
        <v>15.757379999999998</v>
      </c>
      <c r="AC64" s="57">
        <f t="shared" si="13"/>
        <v>2794.8404445639626</v>
      </c>
    </row>
    <row r="65" spans="1:29">
      <c r="A65" s="57">
        <f>SUH!U91</f>
        <v>12</v>
      </c>
      <c r="B65" s="57">
        <f ca="1">SUH!V91</f>
        <v>153.75</v>
      </c>
      <c r="C65" s="77">
        <v>225.61000785515753</v>
      </c>
      <c r="D65" s="77">
        <v>308.67167714021008</v>
      </c>
      <c r="E65" s="77">
        <v>339.53884485423112</v>
      </c>
      <c r="F65" s="77">
        <v>370.40601256825209</v>
      </c>
      <c r="G65" s="77">
        <v>324.10526099722057</v>
      </c>
      <c r="H65" s="77">
        <v>329.99901099722058</v>
      </c>
      <c r="I65" s="77">
        <v>254.79567504550135</v>
      </c>
      <c r="J65" s="77">
        <v>386.31140110802278</v>
      </c>
      <c r="K65" s="77">
        <v>471.43201466296068</v>
      </c>
      <c r="L65" s="77">
        <v>127.39783752275068</v>
      </c>
      <c r="M65" s="77">
        <v>73.33311355493791</v>
      </c>
      <c r="N65" s="77">
        <v>30.867167714021004</v>
      </c>
      <c r="O65" s="77">
        <v>0</v>
      </c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50">
        <v>3242.4680240204866</v>
      </c>
      <c r="AB65" s="60">
        <f>SUH!$Y$11*SUH!$Y$15</f>
        <v>15.757379999999998</v>
      </c>
      <c r="AC65" s="57">
        <f t="shared" si="13"/>
        <v>3258.2254040204866</v>
      </c>
    </row>
    <row r="66" spans="1:29">
      <c r="A66" s="57">
        <f>SUH!U92</f>
        <v>13</v>
      </c>
      <c r="B66" s="57">
        <f ca="1">SUH!V92</f>
        <v>136.66666666666669</v>
      </c>
      <c r="C66" s="77">
        <v>200.54222920458449</v>
      </c>
      <c r="D66" s="77">
        <v>277.8045094261891</v>
      </c>
      <c r="E66" s="77">
        <v>308.67167714021008</v>
      </c>
      <c r="F66" s="77">
        <v>339.53884485423112</v>
      </c>
      <c r="G66" s="77">
        <v>370.40601256825209</v>
      </c>
      <c r="H66" s="77">
        <v>384.99884616342399</v>
      </c>
      <c r="I66" s="77">
        <v>382.193512568252</v>
      </c>
      <c r="J66" s="77">
        <v>463.57368132962739</v>
      </c>
      <c r="K66" s="77">
        <v>589.29001832870074</v>
      </c>
      <c r="L66" s="77">
        <v>169.86378336366755</v>
      </c>
      <c r="M66" s="77">
        <v>109.99967033240686</v>
      </c>
      <c r="N66" s="77">
        <v>61.734335428042009</v>
      </c>
      <c r="O66" s="77">
        <v>6.7957309164219977</v>
      </c>
      <c r="P66" s="77">
        <v>0</v>
      </c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50">
        <v>3665.4128516240098</v>
      </c>
      <c r="AB66" s="60">
        <f>SUH!$Y$11*SUH!$Y$15</f>
        <v>15.757379999999998</v>
      </c>
      <c r="AC66" s="57">
        <f t="shared" si="13"/>
        <v>3681.1702316240098</v>
      </c>
    </row>
    <row r="67" spans="1:29">
      <c r="A67" s="57">
        <f>SUH!U93</f>
        <v>14</v>
      </c>
      <c r="B67" s="57">
        <f ca="1">SUH!V93</f>
        <v>119.58333333333334</v>
      </c>
      <c r="C67" s="77">
        <v>175.47445055401141</v>
      </c>
      <c r="D67" s="77">
        <v>246.93734171216809</v>
      </c>
      <c r="E67" s="77">
        <v>277.8045094261891</v>
      </c>
      <c r="F67" s="77">
        <v>308.67167714021008</v>
      </c>
      <c r="G67" s="77">
        <v>339.53884485423112</v>
      </c>
      <c r="H67" s="77">
        <v>439.99868132962746</v>
      </c>
      <c r="I67" s="77">
        <v>445.89243132962736</v>
      </c>
      <c r="J67" s="77">
        <v>695.36052199444111</v>
      </c>
      <c r="K67" s="77">
        <v>707.14802199444102</v>
      </c>
      <c r="L67" s="77">
        <v>212.32972920458442</v>
      </c>
      <c r="M67" s="77">
        <v>146.66622710987582</v>
      </c>
      <c r="N67" s="77">
        <v>92.601503142063024</v>
      </c>
      <c r="O67" s="77">
        <v>13.591461832843995</v>
      </c>
      <c r="P67" s="77">
        <v>8.9407104330397296</v>
      </c>
      <c r="Q67" s="77">
        <v>0</v>
      </c>
      <c r="R67" s="77"/>
      <c r="S67" s="77"/>
      <c r="T67" s="77"/>
      <c r="U67" s="77"/>
      <c r="V67" s="77"/>
      <c r="W67" s="77"/>
      <c r="X67" s="77"/>
      <c r="Y67" s="77"/>
      <c r="Z67" s="77"/>
      <c r="AA67" s="50">
        <v>4110.9561120573535</v>
      </c>
      <c r="AB67" s="60">
        <f>SUH!$Y$11*SUH!$Y$15</f>
        <v>15.757379999999998</v>
      </c>
      <c r="AC67" s="57">
        <f t="shared" si="13"/>
        <v>4126.7134920573535</v>
      </c>
    </row>
    <row r="68" spans="1:29">
      <c r="A68" s="57">
        <f>SUH!U94</f>
        <v>15</v>
      </c>
      <c r="B68" s="57">
        <f ca="1">SUH!V94</f>
        <v>102.50000000000001</v>
      </c>
      <c r="C68" s="77">
        <v>150.40667190343837</v>
      </c>
      <c r="D68" s="77">
        <v>216.07017399814708</v>
      </c>
      <c r="E68" s="77">
        <v>246.93734171216809</v>
      </c>
      <c r="F68" s="77">
        <v>277.8045094261891</v>
      </c>
      <c r="G68" s="77">
        <v>308.67167714021008</v>
      </c>
      <c r="H68" s="77">
        <v>403.33212455215852</v>
      </c>
      <c r="I68" s="77">
        <v>509.59135009100271</v>
      </c>
      <c r="J68" s="77">
        <v>811.253942326848</v>
      </c>
      <c r="K68" s="77">
        <v>1060.7220329916615</v>
      </c>
      <c r="L68" s="77">
        <v>254.79567504550135</v>
      </c>
      <c r="M68" s="77">
        <v>183.33278388734476</v>
      </c>
      <c r="N68" s="77">
        <v>123.46867085608402</v>
      </c>
      <c r="O68" s="77">
        <v>20.387192749265996</v>
      </c>
      <c r="P68" s="77">
        <v>17.881420866079459</v>
      </c>
      <c r="Q68" s="77">
        <v>8.9407104330397296</v>
      </c>
      <c r="R68" s="77">
        <v>0</v>
      </c>
      <c r="S68" s="77"/>
      <c r="T68" s="77"/>
      <c r="U68" s="77"/>
      <c r="V68" s="77"/>
      <c r="W68" s="77"/>
      <c r="X68" s="77"/>
      <c r="Y68" s="77"/>
      <c r="Z68" s="77"/>
      <c r="AA68" s="50">
        <v>4593.5962779791389</v>
      </c>
      <c r="AB68" s="60">
        <f>SUH!$Y$11*SUH!$Y$15</f>
        <v>15.757379999999998</v>
      </c>
      <c r="AC68" s="57">
        <f t="shared" si="13"/>
        <v>4609.3536579791389</v>
      </c>
    </row>
    <row r="69" spans="1:29">
      <c r="A69" s="57">
        <f>SUH!U95</f>
        <v>16</v>
      </c>
      <c r="B69" s="57">
        <f ca="1">SUH!V95</f>
        <v>96.805555555555571</v>
      </c>
      <c r="C69" s="77">
        <v>142.05074568658068</v>
      </c>
      <c r="D69" s="77">
        <v>185.20300628412608</v>
      </c>
      <c r="E69" s="77">
        <v>216.07017399814708</v>
      </c>
      <c r="F69" s="77">
        <v>246.93734171216809</v>
      </c>
      <c r="G69" s="77">
        <v>277.8045094261891</v>
      </c>
      <c r="H69" s="77">
        <v>366.66556777468958</v>
      </c>
      <c r="I69" s="77">
        <v>467.12540425008586</v>
      </c>
      <c r="J69" s="77">
        <v>927.14736265925478</v>
      </c>
      <c r="K69" s="77">
        <v>1237.5090384902719</v>
      </c>
      <c r="L69" s="77">
        <v>382.193512568252</v>
      </c>
      <c r="M69" s="77">
        <v>219.99934066481373</v>
      </c>
      <c r="N69" s="77">
        <v>154.33583857010501</v>
      </c>
      <c r="O69" s="77">
        <v>27.182923665687991</v>
      </c>
      <c r="P69" s="77">
        <v>26.822131299119189</v>
      </c>
      <c r="Q69" s="77">
        <v>17.881420866079459</v>
      </c>
      <c r="R69" s="77">
        <v>8.9407104330397296</v>
      </c>
      <c r="S69" s="77">
        <v>0</v>
      </c>
      <c r="T69" s="77"/>
      <c r="U69" s="77"/>
      <c r="V69" s="77"/>
      <c r="W69" s="77"/>
      <c r="X69" s="77"/>
      <c r="Y69" s="77"/>
      <c r="Z69" s="77"/>
      <c r="AA69" s="50">
        <v>4903.8690283486094</v>
      </c>
      <c r="AB69" s="60">
        <f>SUH!$Y$11*SUH!$Y$15</f>
        <v>15.757379999999998</v>
      </c>
      <c r="AC69" s="57">
        <f t="shared" si="13"/>
        <v>4919.6264083486094</v>
      </c>
    </row>
    <row r="70" spans="1:29">
      <c r="A70" s="57">
        <f>SUH!U96</f>
        <v>17</v>
      </c>
      <c r="B70" s="57">
        <f ca="1">SUH!V96</f>
        <v>91.111111111111128</v>
      </c>
      <c r="C70" s="77">
        <v>133.694819469723</v>
      </c>
      <c r="D70" s="77">
        <v>174.91395037945242</v>
      </c>
      <c r="E70" s="50">
        <v>185.20300628412608</v>
      </c>
      <c r="F70" s="50">
        <v>216.07017399814708</v>
      </c>
      <c r="G70" s="50">
        <v>246.93734171216809</v>
      </c>
      <c r="H70" s="50">
        <v>329.99901099722058</v>
      </c>
      <c r="I70" s="50">
        <v>424.65945840916896</v>
      </c>
      <c r="J70" s="50">
        <v>849.88508243765034</v>
      </c>
      <c r="K70" s="50">
        <v>1414.296043988882</v>
      </c>
      <c r="L70" s="50">
        <v>445.89243132962736</v>
      </c>
      <c r="M70" s="50">
        <v>329.99901099722058</v>
      </c>
      <c r="N70" s="50">
        <v>185.20300628412605</v>
      </c>
      <c r="O70" s="50">
        <v>33.978654582109989</v>
      </c>
      <c r="P70" s="50">
        <v>35.762841732158918</v>
      </c>
      <c r="Q70" s="50">
        <v>26.822131299119189</v>
      </c>
      <c r="R70" s="50">
        <v>17.881420866079459</v>
      </c>
      <c r="S70" s="50">
        <v>8.9407104330397296</v>
      </c>
      <c r="T70" s="50">
        <v>0</v>
      </c>
      <c r="U70" s="50"/>
      <c r="V70" s="50"/>
      <c r="W70" s="50"/>
      <c r="X70" s="50"/>
      <c r="Y70" s="50"/>
      <c r="Z70" s="50"/>
      <c r="AA70" s="50">
        <v>5060.1390952000193</v>
      </c>
      <c r="AB70" s="60">
        <f>SUH!$Y$11*SUH!$Y$15</f>
        <v>15.757379999999998</v>
      </c>
      <c r="AC70" s="57">
        <f t="shared" si="13"/>
        <v>5075.8964752000193</v>
      </c>
    </row>
    <row r="71" spans="1:29">
      <c r="A71" s="57">
        <f>SUH!U97</f>
        <v>18</v>
      </c>
      <c r="B71" s="57">
        <f ca="1">SUH!V97</f>
        <v>85.416666666666686</v>
      </c>
      <c r="C71" s="77">
        <v>125.33889325286532</v>
      </c>
      <c r="D71" s="77">
        <v>164.62489447477876</v>
      </c>
      <c r="E71" s="77">
        <v>174.91395037945242</v>
      </c>
      <c r="F71" s="77">
        <v>185.20300628412608</v>
      </c>
      <c r="G71" s="77">
        <v>216.07017399814708</v>
      </c>
      <c r="H71" s="77">
        <v>293.3324542197517</v>
      </c>
      <c r="I71" s="77">
        <v>382.193512568252</v>
      </c>
      <c r="J71" s="77">
        <v>772.62280221604567</v>
      </c>
      <c r="K71" s="77">
        <v>1296.4380403231421</v>
      </c>
      <c r="L71" s="77">
        <v>509.59135009100271</v>
      </c>
      <c r="M71" s="77">
        <v>384.99884616342399</v>
      </c>
      <c r="N71" s="77">
        <v>277.8045094261891</v>
      </c>
      <c r="O71" s="77">
        <v>40.774385498531991</v>
      </c>
      <c r="P71" s="77">
        <v>44.703552165198644</v>
      </c>
      <c r="Q71" s="77">
        <v>35.762841732158918</v>
      </c>
      <c r="R71" s="77">
        <v>26.822131299119189</v>
      </c>
      <c r="S71" s="77">
        <v>17.881420866079459</v>
      </c>
      <c r="T71" s="77">
        <v>11.085689949657462</v>
      </c>
      <c r="U71" s="77">
        <v>0</v>
      </c>
      <c r="V71" s="77"/>
      <c r="W71" s="77"/>
      <c r="X71" s="77"/>
      <c r="Y71" s="77"/>
      <c r="Z71" s="77"/>
      <c r="AA71" s="50">
        <v>4960.1624549079233</v>
      </c>
      <c r="AB71" s="60">
        <f>SUH!$Y$11*SUH!$Y$15</f>
        <v>15.757379999999998</v>
      </c>
      <c r="AC71" s="57">
        <f t="shared" si="13"/>
        <v>4975.9198349079234</v>
      </c>
    </row>
    <row r="72" spans="1:29">
      <c r="A72" s="57">
        <f>SUH!U98</f>
        <v>19</v>
      </c>
      <c r="B72" s="57">
        <f ca="1">SUH!V98</f>
        <v>79.722222222222243</v>
      </c>
      <c r="C72" s="77">
        <v>116.98296703600764</v>
      </c>
      <c r="D72" s="77">
        <v>154.33583857010507</v>
      </c>
      <c r="E72" s="77">
        <v>164.62489447477876</v>
      </c>
      <c r="F72" s="77">
        <v>174.91395037945242</v>
      </c>
      <c r="G72" s="77">
        <v>185.20300628412608</v>
      </c>
      <c r="H72" s="77">
        <v>256.6658974422827</v>
      </c>
      <c r="I72" s="77">
        <v>339.72756672733516</v>
      </c>
      <c r="J72" s="77">
        <v>695.36052199444111</v>
      </c>
      <c r="K72" s="77">
        <v>1178.5800366574017</v>
      </c>
      <c r="L72" s="77">
        <v>467.12540425008586</v>
      </c>
      <c r="M72" s="77">
        <v>439.99868132962746</v>
      </c>
      <c r="N72" s="77">
        <v>324.10526099722057</v>
      </c>
      <c r="O72" s="77">
        <v>61.161578247797983</v>
      </c>
      <c r="P72" s="77">
        <v>53.644262598238377</v>
      </c>
      <c r="Q72" s="77">
        <v>44.703552165198644</v>
      </c>
      <c r="R72" s="77">
        <v>35.762841732158918</v>
      </c>
      <c r="S72" s="77">
        <v>26.822131299119189</v>
      </c>
      <c r="T72" s="77">
        <v>22.171379899314925</v>
      </c>
      <c r="U72" s="77">
        <v>13.230669466275193</v>
      </c>
      <c r="V72" s="77">
        <v>0</v>
      </c>
      <c r="W72" s="77"/>
      <c r="X72" s="77"/>
      <c r="Y72" s="77"/>
      <c r="Z72" s="77"/>
      <c r="AA72" s="50">
        <v>4755.1204415509683</v>
      </c>
      <c r="AB72" s="60">
        <f>SUH!$Y$11*SUH!$Y$15</f>
        <v>15.757379999999998</v>
      </c>
      <c r="AC72" s="57">
        <f t="shared" si="13"/>
        <v>4770.8778215509683</v>
      </c>
    </row>
    <row r="73" spans="1:29">
      <c r="A73" s="57">
        <f>SUH!U99</f>
        <v>20</v>
      </c>
      <c r="B73" s="57">
        <f ca="1">SUH!V99</f>
        <v>74.0277777777778</v>
      </c>
      <c r="C73" s="77">
        <v>108.62704081914995</v>
      </c>
      <c r="D73" s="77">
        <v>144.04678266543141</v>
      </c>
      <c r="E73" s="77">
        <v>154.33583857010507</v>
      </c>
      <c r="F73" s="77">
        <v>164.62489447477876</v>
      </c>
      <c r="G73" s="77">
        <v>174.91395037945242</v>
      </c>
      <c r="H73" s="77">
        <v>219.99934066481376</v>
      </c>
      <c r="I73" s="77">
        <v>297.26162088641826</v>
      </c>
      <c r="J73" s="77">
        <v>618.09824177283667</v>
      </c>
      <c r="K73" s="77">
        <v>1060.7220329916615</v>
      </c>
      <c r="L73" s="77">
        <v>424.65945840916896</v>
      </c>
      <c r="M73" s="77">
        <v>403.33212455215852</v>
      </c>
      <c r="N73" s="77">
        <v>370.40601256825209</v>
      </c>
      <c r="O73" s="77">
        <v>71.35517462243098</v>
      </c>
      <c r="P73" s="77">
        <v>80.466393897357577</v>
      </c>
      <c r="Q73" s="77">
        <v>53.644262598238377</v>
      </c>
      <c r="R73" s="77">
        <v>44.703552165198644</v>
      </c>
      <c r="S73" s="77">
        <v>35.762841732158918</v>
      </c>
      <c r="T73" s="77">
        <v>33.257069848972385</v>
      </c>
      <c r="U73" s="77">
        <v>26.461338932550387</v>
      </c>
      <c r="V73" s="77">
        <v>26.100546565981588</v>
      </c>
      <c r="W73" s="77">
        <v>0</v>
      </c>
      <c r="X73" s="77"/>
      <c r="Y73" s="77"/>
      <c r="Z73" s="77"/>
      <c r="AA73" s="50">
        <v>4512.778519117117</v>
      </c>
      <c r="AB73" s="60">
        <f>SUH!$Y$11*SUH!$Y$15</f>
        <v>15.757379999999998</v>
      </c>
      <c r="AC73" s="57">
        <f t="shared" si="13"/>
        <v>4528.535899117117</v>
      </c>
    </row>
    <row r="74" spans="1:29">
      <c r="A74" s="57">
        <f>SUH!U100</f>
        <v>21</v>
      </c>
      <c r="B74" s="57">
        <f ca="1">SUH!V100</f>
        <v>68.333333333333343</v>
      </c>
      <c r="C74" s="77">
        <v>100.27111460229224</v>
      </c>
      <c r="D74" s="77">
        <v>133.75772676075775</v>
      </c>
      <c r="E74" s="77">
        <v>144.04678266543141</v>
      </c>
      <c r="F74" s="77">
        <v>154.33583857010507</v>
      </c>
      <c r="G74" s="77">
        <v>164.62489447477876</v>
      </c>
      <c r="H74" s="77">
        <v>207.77715507232412</v>
      </c>
      <c r="I74" s="77">
        <v>254.79567504550138</v>
      </c>
      <c r="J74" s="77">
        <v>540.835961551232</v>
      </c>
      <c r="K74" s="77">
        <v>942.86402932592148</v>
      </c>
      <c r="L74" s="77">
        <v>382.193512568252</v>
      </c>
      <c r="M74" s="77">
        <v>366.66556777468958</v>
      </c>
      <c r="N74" s="77">
        <v>339.53884485423112</v>
      </c>
      <c r="O74" s="77">
        <v>81.548770997063983</v>
      </c>
      <c r="P74" s="77">
        <v>93.877459546917166</v>
      </c>
      <c r="Q74" s="77">
        <v>80.466393897357577</v>
      </c>
      <c r="R74" s="77">
        <v>53.644262598238377</v>
      </c>
      <c r="S74" s="77">
        <v>44.703552165198644</v>
      </c>
      <c r="T74" s="77">
        <v>44.342759798629849</v>
      </c>
      <c r="U74" s="77">
        <v>39.692008398825585</v>
      </c>
      <c r="V74" s="77">
        <v>52.201093131963177</v>
      </c>
      <c r="W74" s="77">
        <v>41.115403182305712</v>
      </c>
      <c r="X74" s="77">
        <v>0</v>
      </c>
      <c r="Y74" s="77"/>
      <c r="Z74" s="77"/>
      <c r="AA74" s="50">
        <v>4263.2988069820167</v>
      </c>
      <c r="AB74" s="60">
        <f>SUH!$Y$11*SUH!$Y$15</f>
        <v>15.757379999999998</v>
      </c>
      <c r="AC74" s="57">
        <f t="shared" si="13"/>
        <v>4279.0561869820167</v>
      </c>
    </row>
    <row r="75" spans="1:29">
      <c r="A75" s="57">
        <f>SUH!U101</f>
        <v>22</v>
      </c>
      <c r="B75" s="57">
        <f ca="1">SUH!V101</f>
        <v>62.6388888888889</v>
      </c>
      <c r="C75" s="77">
        <v>91.915188385434561</v>
      </c>
      <c r="D75" s="77">
        <v>123.46867085608405</v>
      </c>
      <c r="E75" s="77">
        <v>133.75772676075775</v>
      </c>
      <c r="F75" s="77">
        <v>144.04678266543141</v>
      </c>
      <c r="G75" s="77">
        <v>154.33583857010507</v>
      </c>
      <c r="H75" s="77">
        <v>195.55496947983445</v>
      </c>
      <c r="I75" s="77">
        <v>240.64035976519577</v>
      </c>
      <c r="J75" s="77">
        <v>463.57368132962745</v>
      </c>
      <c r="K75" s="77">
        <v>825.00602566018131</v>
      </c>
      <c r="L75" s="77">
        <v>339.72756672733516</v>
      </c>
      <c r="M75" s="77">
        <v>329.99901099722058</v>
      </c>
      <c r="N75" s="77">
        <v>308.67167714021008</v>
      </c>
      <c r="O75" s="77">
        <v>74.753040080641981</v>
      </c>
      <c r="P75" s="77">
        <v>107.28852519647675</v>
      </c>
      <c r="Q75" s="77">
        <v>93.877459546917166</v>
      </c>
      <c r="R75" s="77">
        <v>80.466393897357577</v>
      </c>
      <c r="S75" s="77">
        <v>53.644262598238377</v>
      </c>
      <c r="T75" s="77">
        <v>55.428449748287306</v>
      </c>
      <c r="U75" s="77">
        <v>52.922677865100773</v>
      </c>
      <c r="V75" s="77">
        <v>78.301639697944779</v>
      </c>
      <c r="W75" s="77">
        <v>82.230806364611425</v>
      </c>
      <c r="X75" s="77">
        <v>13.230669466275193</v>
      </c>
      <c r="Y75" s="77">
        <v>0</v>
      </c>
      <c r="Z75" s="77"/>
      <c r="AA75" s="50">
        <v>4042.8414227992694</v>
      </c>
      <c r="AB75" s="60">
        <f>SUH!$Y$11*SUH!$Y$15</f>
        <v>15.757379999999998</v>
      </c>
      <c r="AC75" s="57">
        <f t="shared" si="13"/>
        <v>4058.5988027992694</v>
      </c>
    </row>
    <row r="76" spans="1:29">
      <c r="A76" s="57">
        <f>SUH!U102</f>
        <v>23</v>
      </c>
      <c r="B76" s="57">
        <f ca="1">SUH!V102</f>
        <v>56.944444444444457</v>
      </c>
      <c r="C76" s="77">
        <v>83.559262168576879</v>
      </c>
      <c r="D76" s="77">
        <v>113.17961495141039</v>
      </c>
      <c r="E76" s="77">
        <v>123.46867085608405</v>
      </c>
      <c r="F76" s="77">
        <v>133.75772676075775</v>
      </c>
      <c r="G76" s="77">
        <v>144.04678266543141</v>
      </c>
      <c r="H76" s="77">
        <v>183.33278388734482</v>
      </c>
      <c r="I76" s="77">
        <v>226.48504448489012</v>
      </c>
      <c r="J76" s="77">
        <v>437.81958792242597</v>
      </c>
      <c r="K76" s="77">
        <v>707.14802199444114</v>
      </c>
      <c r="L76" s="77">
        <v>297.26162088641826</v>
      </c>
      <c r="M76" s="77">
        <v>293.3324542197517</v>
      </c>
      <c r="N76" s="77">
        <v>277.8045094261891</v>
      </c>
      <c r="O76" s="77">
        <v>67.957309164219978</v>
      </c>
      <c r="P76" s="77">
        <v>98.347814763437043</v>
      </c>
      <c r="Q76" s="77">
        <v>107.28852519647675</v>
      </c>
      <c r="R76" s="77">
        <v>93.877459546917166</v>
      </c>
      <c r="S76" s="77">
        <v>80.466393897357577</v>
      </c>
      <c r="T76" s="77">
        <v>66.514139697944771</v>
      </c>
      <c r="U76" s="77">
        <v>66.153347331375969</v>
      </c>
      <c r="V76" s="77">
        <v>104.40218626392635</v>
      </c>
      <c r="W76" s="77">
        <v>123.34620954691715</v>
      </c>
      <c r="X76" s="77">
        <v>26.461338932550387</v>
      </c>
      <c r="Y76" s="77">
        <v>11.085689949657462</v>
      </c>
      <c r="Z76" s="77">
        <v>0</v>
      </c>
      <c r="AA76" s="50">
        <v>3867.0964945145024</v>
      </c>
      <c r="AB76" s="60">
        <f>SUH!$Y$11*SUH!$Y$15</f>
        <v>15.757379999999998</v>
      </c>
      <c r="AC76" s="57">
        <f t="shared" si="13"/>
        <v>3882.8538745145024</v>
      </c>
    </row>
    <row r="77" spans="1:29">
      <c r="A77" s="57">
        <f>SUH!U103</f>
        <v>24</v>
      </c>
      <c r="B77" s="57">
        <f ca="1">SUH!V103</f>
        <v>51.25</v>
      </c>
      <c r="C77" s="77">
        <v>75.203335951719183</v>
      </c>
      <c r="D77" s="77">
        <v>102.89055904673671</v>
      </c>
      <c r="E77" s="77">
        <v>113.17961495141039</v>
      </c>
      <c r="F77" s="77">
        <v>123.46867085608405</v>
      </c>
      <c r="G77" s="77">
        <v>133.75772676075775</v>
      </c>
      <c r="H77" s="77">
        <v>171.11059829485515</v>
      </c>
      <c r="I77" s="77">
        <v>212.32972920458451</v>
      </c>
      <c r="J77" s="77">
        <v>412.06549451522443</v>
      </c>
      <c r="K77" s="77">
        <v>667.86202077252779</v>
      </c>
      <c r="L77" s="77">
        <v>254.79567504550138</v>
      </c>
      <c r="M77" s="77">
        <v>256.6658974422827</v>
      </c>
      <c r="N77" s="77">
        <v>246.93734171216809</v>
      </c>
      <c r="O77" s="77">
        <v>61.161578247797983</v>
      </c>
      <c r="P77" s="77">
        <v>89.407104330397303</v>
      </c>
      <c r="Q77" s="77">
        <v>98.347814763437043</v>
      </c>
      <c r="R77" s="77">
        <v>107.28852519647675</v>
      </c>
      <c r="S77" s="77">
        <v>93.877459546917166</v>
      </c>
      <c r="T77" s="77">
        <v>99.771209546917163</v>
      </c>
      <c r="U77" s="77">
        <v>79.384016797651171</v>
      </c>
      <c r="V77" s="77">
        <v>130.50273282990793</v>
      </c>
      <c r="W77" s="77">
        <v>164.46161272922285</v>
      </c>
      <c r="X77" s="77">
        <v>39.692008398825585</v>
      </c>
      <c r="Y77" s="77">
        <v>22.171379899314925</v>
      </c>
      <c r="Z77" s="77">
        <v>8.9407104330397296</v>
      </c>
      <c r="AA77" s="50">
        <v>3765.2728172737584</v>
      </c>
      <c r="AB77" s="60">
        <f>SUH!$Y$11*SUH!$Y$15</f>
        <v>15.757379999999998</v>
      </c>
      <c r="AC77" s="57">
        <f t="shared" si="13"/>
        <v>3781.0301972737584</v>
      </c>
    </row>
    <row r="78" spans="1:29">
      <c r="A78" s="57">
        <f>SUH!U104</f>
        <v>25</v>
      </c>
      <c r="B78" s="57">
        <f ca="1">SUH!V104</f>
        <v>45.555555555555571</v>
      </c>
      <c r="C78" s="77">
        <v>66.847409734861515</v>
      </c>
      <c r="D78" s="77">
        <v>92.601503142063024</v>
      </c>
      <c r="E78" s="77">
        <v>102.89055904673671</v>
      </c>
      <c r="F78" s="77">
        <v>113.17961495141039</v>
      </c>
      <c r="G78" s="77">
        <v>123.46867085608405</v>
      </c>
      <c r="H78" s="77">
        <v>158.88841270236551</v>
      </c>
      <c r="I78" s="77">
        <v>198.17441392427889</v>
      </c>
      <c r="J78" s="77">
        <v>386.31140110802289</v>
      </c>
      <c r="K78" s="77">
        <v>628.57601955061432</v>
      </c>
      <c r="L78" s="77">
        <v>240.64035976519577</v>
      </c>
      <c r="M78" s="77">
        <v>219.99934066481376</v>
      </c>
      <c r="N78" s="77">
        <v>216.07017399814708</v>
      </c>
      <c r="O78" s="77">
        <v>54.365847331375988</v>
      </c>
      <c r="P78" s="77">
        <v>80.466393897357577</v>
      </c>
      <c r="Q78" s="77">
        <v>89.407104330397303</v>
      </c>
      <c r="R78" s="77">
        <v>98.347814763437043</v>
      </c>
      <c r="S78" s="77">
        <v>107.28852519647675</v>
      </c>
      <c r="T78" s="77">
        <v>116.39974447140335</v>
      </c>
      <c r="U78" s="77">
        <v>119.07602519647675</v>
      </c>
      <c r="V78" s="77">
        <v>156.60327939588956</v>
      </c>
      <c r="W78" s="77">
        <v>205.57701591152855</v>
      </c>
      <c r="X78" s="77">
        <v>52.922677865100773</v>
      </c>
      <c r="Y78" s="77">
        <v>33.257069848972385</v>
      </c>
      <c r="Z78" s="77">
        <v>17.881420866079459</v>
      </c>
      <c r="AA78" s="50">
        <v>3679.2407985190898</v>
      </c>
      <c r="AB78" s="60">
        <f>SUH!$Y$11*SUH!$Y$15</f>
        <v>15.757379999999998</v>
      </c>
      <c r="AC78" s="57">
        <f t="shared" si="13"/>
        <v>3694.9981785190898</v>
      </c>
    </row>
    <row r="79" spans="1:29">
      <c r="A79" s="57">
        <f>SUH!U105</f>
        <v>26</v>
      </c>
      <c r="B79" s="57">
        <f ca="1">SUH!V105</f>
        <v>39.861111111111114</v>
      </c>
      <c r="C79" s="77">
        <v>58.491483518003811</v>
      </c>
      <c r="D79" s="77">
        <v>82.312447237389378</v>
      </c>
      <c r="E79" s="77">
        <v>92.601503142063024</v>
      </c>
      <c r="F79" s="77">
        <v>102.89055904673671</v>
      </c>
      <c r="G79" s="77">
        <v>113.17961495141039</v>
      </c>
      <c r="H79" s="77">
        <v>146.66622710987585</v>
      </c>
      <c r="I79" s="77">
        <v>184.01909864397325</v>
      </c>
      <c r="J79" s="77">
        <v>360.55730770082141</v>
      </c>
      <c r="K79" s="77">
        <v>589.29001832870097</v>
      </c>
      <c r="L79" s="77">
        <v>226.48504448489012</v>
      </c>
      <c r="M79" s="77">
        <v>207.77715507232412</v>
      </c>
      <c r="N79" s="77">
        <v>185.20300628412608</v>
      </c>
      <c r="O79" s="77">
        <v>47.570116414953993</v>
      </c>
      <c r="P79" s="77">
        <v>71.525683464317851</v>
      </c>
      <c r="Q79" s="77">
        <v>80.466393897357577</v>
      </c>
      <c r="R79" s="77">
        <v>89.407104330397303</v>
      </c>
      <c r="S79" s="77">
        <v>98.347814763437043</v>
      </c>
      <c r="T79" s="77">
        <v>133.02827939588954</v>
      </c>
      <c r="U79" s="77">
        <v>138.92202939588955</v>
      </c>
      <c r="V79" s="77">
        <v>234.90491909383431</v>
      </c>
      <c r="W79" s="77">
        <v>246.6924190938343</v>
      </c>
      <c r="X79" s="77">
        <v>66.153347331375969</v>
      </c>
      <c r="Y79" s="77">
        <v>44.342759798629849</v>
      </c>
      <c r="Z79" s="77">
        <v>26.822131299119189</v>
      </c>
      <c r="AA79" s="50">
        <v>3627.6564637993515</v>
      </c>
      <c r="AB79" s="60">
        <f>SUH!$Y$11*SUH!$Y$15</f>
        <v>15.757379999999998</v>
      </c>
      <c r="AC79" s="57">
        <f t="shared" si="13"/>
        <v>3643.4138437993515</v>
      </c>
    </row>
    <row r="80" spans="1:29">
      <c r="A80" s="57">
        <f>SUH!U106</f>
        <v>27</v>
      </c>
      <c r="B80" s="57">
        <f ca="1">SUH!V106</f>
        <v>34.166666666666686</v>
      </c>
      <c r="C80" s="77">
        <v>50.135557301146143</v>
      </c>
      <c r="D80" s="77">
        <v>72.02339133271569</v>
      </c>
      <c r="E80" s="77">
        <v>82.312447237389378</v>
      </c>
      <c r="F80" s="77">
        <v>92.601503142063024</v>
      </c>
      <c r="G80" s="77">
        <v>102.89055904673671</v>
      </c>
      <c r="H80" s="77">
        <v>134.44404151738618</v>
      </c>
      <c r="I80" s="77">
        <v>169.86378336366758</v>
      </c>
      <c r="J80" s="77">
        <v>334.80321429361987</v>
      </c>
      <c r="K80" s="77">
        <v>550.00401710678761</v>
      </c>
      <c r="L80" s="77">
        <v>212.32972920458451</v>
      </c>
      <c r="M80" s="77">
        <v>195.55496947983445</v>
      </c>
      <c r="N80" s="77">
        <v>174.91395037945242</v>
      </c>
      <c r="O80" s="77">
        <v>40.774385498531991</v>
      </c>
      <c r="P80" s="77">
        <v>62.584973031278118</v>
      </c>
      <c r="Q80" s="77">
        <v>71.525683464317851</v>
      </c>
      <c r="R80" s="77">
        <v>80.466393897357577</v>
      </c>
      <c r="S80" s="77">
        <v>89.407104330397303</v>
      </c>
      <c r="T80" s="77">
        <v>121.94258944623209</v>
      </c>
      <c r="U80" s="77">
        <v>158.76803359530234</v>
      </c>
      <c r="V80" s="77">
        <v>274.05573894280673</v>
      </c>
      <c r="W80" s="77">
        <v>370.03862864075143</v>
      </c>
      <c r="X80" s="77">
        <v>79.384016797651171</v>
      </c>
      <c r="Y80" s="77">
        <v>55.428449748287306</v>
      </c>
      <c r="Z80" s="77">
        <v>35.762841732158918</v>
      </c>
      <c r="AA80" s="50">
        <v>3612.0160025304563</v>
      </c>
      <c r="AB80" s="60">
        <f>SUH!$Y$11*SUH!$Y$15</f>
        <v>15.757379999999998</v>
      </c>
      <c r="AC80" s="57">
        <f t="shared" si="13"/>
        <v>3627.7733825304563</v>
      </c>
    </row>
    <row r="81" spans="1:29">
      <c r="A81" s="57">
        <f>SUH!U107</f>
        <v>28</v>
      </c>
      <c r="B81" s="57">
        <f ca="1">SUH!V107</f>
        <v>28.472222222222229</v>
      </c>
      <c r="C81" s="77">
        <v>41.77963108428844</v>
      </c>
      <c r="D81" s="77">
        <v>61.734335428042051</v>
      </c>
      <c r="E81" s="77">
        <v>72.02339133271569</v>
      </c>
      <c r="F81" s="77">
        <v>82.312447237389378</v>
      </c>
      <c r="G81" s="77">
        <v>92.601503142063024</v>
      </c>
      <c r="H81" s="77">
        <v>122.22185592489654</v>
      </c>
      <c r="I81" s="77">
        <v>155.70846808336196</v>
      </c>
      <c r="J81" s="77">
        <v>309.04912088641834</v>
      </c>
      <c r="K81" s="77">
        <v>510.71801588487421</v>
      </c>
      <c r="L81" s="77">
        <v>198.17441392427889</v>
      </c>
      <c r="M81" s="77">
        <v>183.33278388734482</v>
      </c>
      <c r="N81" s="77">
        <v>164.62489447477876</v>
      </c>
      <c r="O81" s="77">
        <v>38.509141859724664</v>
      </c>
      <c r="P81" s="77">
        <v>53.644262598238392</v>
      </c>
      <c r="Q81" s="77">
        <v>62.584973031278118</v>
      </c>
      <c r="R81" s="77">
        <v>71.525683464317851</v>
      </c>
      <c r="S81" s="77">
        <v>80.466393897357577</v>
      </c>
      <c r="T81" s="77">
        <v>110.85689949657463</v>
      </c>
      <c r="U81" s="77">
        <v>145.53736412902714</v>
      </c>
      <c r="V81" s="77">
        <v>313.20655879177912</v>
      </c>
      <c r="W81" s="77">
        <v>431.71173341421002</v>
      </c>
      <c r="X81" s="77">
        <v>119.07602519647675</v>
      </c>
      <c r="Y81" s="77">
        <v>66.514139697944771</v>
      </c>
      <c r="Z81" s="77">
        <v>44.703552165198644</v>
      </c>
      <c r="AA81" s="50">
        <v>3532.6175890325794</v>
      </c>
      <c r="AB81" s="60">
        <f>SUH!$Y$11*SUH!$Y$15</f>
        <v>15.757379999999998</v>
      </c>
      <c r="AC81" s="57">
        <f t="shared" si="13"/>
        <v>3548.3749690325794</v>
      </c>
    </row>
    <row r="82" spans="1:29">
      <c r="A82" s="57">
        <f>SUH!U108</f>
        <v>29</v>
      </c>
      <c r="B82" s="57">
        <f ca="1">SUH!V108</f>
        <v>22.7777777777778</v>
      </c>
      <c r="C82" s="77">
        <v>33.423704867430779</v>
      </c>
      <c r="D82" s="77">
        <v>51.445279523368356</v>
      </c>
      <c r="E82" s="77">
        <v>61.734335428042051</v>
      </c>
      <c r="F82" s="77">
        <v>72.02339133271569</v>
      </c>
      <c r="G82" s="77">
        <v>82.312447237389378</v>
      </c>
      <c r="H82" s="77">
        <v>109.99967033240686</v>
      </c>
      <c r="I82" s="77">
        <v>141.55315280305635</v>
      </c>
      <c r="J82" s="77">
        <v>283.2950274792168</v>
      </c>
      <c r="K82" s="77">
        <v>471.43201466296074</v>
      </c>
      <c r="L82" s="77">
        <v>184.01909864397325</v>
      </c>
      <c r="M82" s="77">
        <v>171.11059829485515</v>
      </c>
      <c r="N82" s="77">
        <v>154.33583857010507</v>
      </c>
      <c r="O82" s="77">
        <v>36.24389822091733</v>
      </c>
      <c r="P82" s="77">
        <v>50.664025787225142</v>
      </c>
      <c r="Q82" s="77">
        <v>53.644262598238392</v>
      </c>
      <c r="R82" s="77">
        <v>62.584973031278118</v>
      </c>
      <c r="S82" s="77">
        <v>71.525683464317851</v>
      </c>
      <c r="T82" s="77">
        <v>99.771209546917163</v>
      </c>
      <c r="U82" s="77">
        <v>132.30669466275194</v>
      </c>
      <c r="V82" s="77">
        <v>287.10601222579754</v>
      </c>
      <c r="W82" s="77">
        <v>493.38483818766861</v>
      </c>
      <c r="X82" s="77">
        <v>138.92202939588955</v>
      </c>
      <c r="Y82" s="77">
        <v>99.771209546917163</v>
      </c>
      <c r="Z82" s="77">
        <v>53.644262598238377</v>
      </c>
      <c r="AA82" s="50">
        <v>3396.2536584416789</v>
      </c>
      <c r="AB82" s="60">
        <f>SUH!$Y$11*SUH!$Y$15</f>
        <v>15.757379999999998</v>
      </c>
      <c r="AC82" s="57">
        <f t="shared" si="13"/>
        <v>3412.0110384416789</v>
      </c>
    </row>
    <row r="83" spans="1:29">
      <c r="A83" s="57">
        <f>SUH!U109</f>
        <v>30</v>
      </c>
      <c r="B83" s="57">
        <f ca="1">SUH!V109</f>
        <v>17.083333333333343</v>
      </c>
      <c r="C83" s="77">
        <v>25.067778650573072</v>
      </c>
      <c r="D83" s="77">
        <v>41.156223618694717</v>
      </c>
      <c r="E83" s="77">
        <v>51.445279523368356</v>
      </c>
      <c r="F83" s="77">
        <v>61.734335428042051</v>
      </c>
      <c r="G83" s="77">
        <v>72.02339133271569</v>
      </c>
      <c r="H83" s="77">
        <v>97.777484739917242</v>
      </c>
      <c r="I83" s="77">
        <v>127.39783752275068</v>
      </c>
      <c r="J83" s="77">
        <v>257.54093407201526</v>
      </c>
      <c r="K83" s="77">
        <v>432.14601344104739</v>
      </c>
      <c r="L83" s="77">
        <v>169.86378336366758</v>
      </c>
      <c r="M83" s="77">
        <v>158.88841270236551</v>
      </c>
      <c r="N83" s="77">
        <v>144.04678266543141</v>
      </c>
      <c r="O83" s="77">
        <v>33.978654582109996</v>
      </c>
      <c r="P83" s="77">
        <v>47.6837889762119</v>
      </c>
      <c r="Q83" s="77">
        <v>50.664025787225142</v>
      </c>
      <c r="R83" s="77">
        <v>53.644262598238392</v>
      </c>
      <c r="S83" s="77">
        <v>62.584973031278118</v>
      </c>
      <c r="T83" s="77">
        <v>88.685519597259713</v>
      </c>
      <c r="U83" s="77">
        <v>119.07602519647675</v>
      </c>
      <c r="V83" s="77">
        <v>261.00546565981591</v>
      </c>
      <c r="W83" s="77">
        <v>452.26943500536294</v>
      </c>
      <c r="X83" s="77">
        <v>158.76803359530234</v>
      </c>
      <c r="Y83" s="77">
        <v>116.39974447140335</v>
      </c>
      <c r="Z83" s="77">
        <v>80.466393897357577</v>
      </c>
      <c r="AA83" s="50">
        <v>3164.3145794586312</v>
      </c>
      <c r="AB83" s="60">
        <f>SUH!$Y$11*SUH!$Y$15</f>
        <v>15.757379999999998</v>
      </c>
      <c r="AC83" s="57">
        <f t="shared" si="13"/>
        <v>3180.0719594586312</v>
      </c>
    </row>
    <row r="84" spans="1:29">
      <c r="A84" s="57">
        <f>SUH!U110</f>
        <v>31</v>
      </c>
      <c r="B84" s="57">
        <f ca="1">SUH!V110</f>
        <v>11.388888888888914</v>
      </c>
      <c r="C84" s="77">
        <v>16.711852433715411</v>
      </c>
      <c r="D84" s="77">
        <v>30.867167714021026</v>
      </c>
      <c r="E84" s="77">
        <v>41.156223618694717</v>
      </c>
      <c r="F84" s="77">
        <v>51.445279523368356</v>
      </c>
      <c r="G84" s="77">
        <v>61.734335428042051</v>
      </c>
      <c r="H84" s="77">
        <v>85.555299147427561</v>
      </c>
      <c r="I84" s="77">
        <v>113.24252224244509</v>
      </c>
      <c r="J84" s="77">
        <v>231.7868406648137</v>
      </c>
      <c r="K84" s="77">
        <v>392.86001221913398</v>
      </c>
      <c r="L84" s="77">
        <v>155.70846808336196</v>
      </c>
      <c r="M84" s="77">
        <v>146.66622710987585</v>
      </c>
      <c r="N84" s="77">
        <v>133.75772676075775</v>
      </c>
      <c r="O84" s="77">
        <v>31.713410943302666</v>
      </c>
      <c r="P84" s="77">
        <v>44.703552165198658</v>
      </c>
      <c r="Q84" s="77">
        <v>47.6837889762119</v>
      </c>
      <c r="R84" s="77">
        <v>50.664025787225142</v>
      </c>
      <c r="S84" s="77">
        <v>53.644262598238392</v>
      </c>
      <c r="T84" s="77">
        <v>77.599829647602249</v>
      </c>
      <c r="U84" s="77">
        <v>105.84535573020158</v>
      </c>
      <c r="V84" s="77">
        <v>234.90491909383431</v>
      </c>
      <c r="W84" s="77">
        <v>411.15403182305715</v>
      </c>
      <c r="X84" s="77">
        <v>145.53736412902714</v>
      </c>
      <c r="Y84" s="77">
        <v>133.02827939588954</v>
      </c>
      <c r="Z84" s="77">
        <v>93.877459546917166</v>
      </c>
      <c r="AA84" s="50">
        <v>2891.8482347823638</v>
      </c>
      <c r="AB84" s="60">
        <f>SUH!$Y$11*SUH!$Y$15</f>
        <v>15.757379999999998</v>
      </c>
      <c r="AC84" s="57">
        <f t="shared" si="13"/>
        <v>2907.6056147823638</v>
      </c>
    </row>
    <row r="85" spans="1:29">
      <c r="A85" s="57">
        <f>SUH!U111</f>
        <v>32</v>
      </c>
      <c r="B85" s="57">
        <f ca="1">SUH!V111</f>
        <v>5.6944444444444571</v>
      </c>
      <c r="C85" s="77">
        <v>8.3559262168577053</v>
      </c>
      <c r="D85" s="77">
        <v>20.578111809347384</v>
      </c>
      <c r="E85" s="77">
        <v>30.867167714021026</v>
      </c>
      <c r="F85" s="77">
        <v>41.156223618694717</v>
      </c>
      <c r="G85" s="77">
        <v>51.445279523368356</v>
      </c>
      <c r="H85" s="77">
        <v>73.333113554937952</v>
      </c>
      <c r="I85" s="77">
        <v>99.087206962139419</v>
      </c>
      <c r="J85" s="77">
        <v>206.03274725761224</v>
      </c>
      <c r="K85" s="77">
        <v>353.57401099722051</v>
      </c>
      <c r="L85" s="77">
        <v>141.55315280305635</v>
      </c>
      <c r="M85" s="77">
        <v>134.44404151738618</v>
      </c>
      <c r="N85" s="77">
        <v>123.46867085608405</v>
      </c>
      <c r="O85" s="77">
        <v>29.448167304495332</v>
      </c>
      <c r="P85" s="77">
        <v>41.723315354185416</v>
      </c>
      <c r="Q85" s="77">
        <v>44.703552165198658</v>
      </c>
      <c r="R85" s="77">
        <v>47.6837889762119</v>
      </c>
      <c r="S85" s="77">
        <v>50.664025787225142</v>
      </c>
      <c r="T85" s="77">
        <v>66.514139697944785</v>
      </c>
      <c r="U85" s="77">
        <v>92.614686263926373</v>
      </c>
      <c r="V85" s="77">
        <v>208.80437252785276</v>
      </c>
      <c r="W85" s="77">
        <v>370.03862864075143</v>
      </c>
      <c r="X85" s="77">
        <v>132.30669466275194</v>
      </c>
      <c r="Y85" s="77">
        <v>121.94258944623209</v>
      </c>
      <c r="Z85" s="77">
        <v>107.28852519647675</v>
      </c>
      <c r="AA85" s="50">
        <v>2597.6281388539787</v>
      </c>
      <c r="AB85" s="60">
        <f>SUH!$Y$11*SUH!$Y$15</f>
        <v>15.757379999999998</v>
      </c>
      <c r="AC85" s="57">
        <f t="shared" si="13"/>
        <v>2613.3855188539787</v>
      </c>
    </row>
    <row r="86" spans="1:29">
      <c r="A86" s="57">
        <f>SUH!U112</f>
        <v>33</v>
      </c>
      <c r="B86" s="57">
        <f>SUH!V112</f>
        <v>0</v>
      </c>
      <c r="C86" s="77">
        <v>0</v>
      </c>
      <c r="D86" s="77">
        <v>10.289055904673692</v>
      </c>
      <c r="E86" s="77">
        <v>20.578111809347384</v>
      </c>
      <c r="F86" s="77">
        <v>30.867167714021026</v>
      </c>
      <c r="G86" s="77">
        <v>41.156223618694717</v>
      </c>
      <c r="H86" s="77">
        <v>61.110927962448272</v>
      </c>
      <c r="I86" s="77">
        <v>84.931891681833832</v>
      </c>
      <c r="J86" s="77">
        <v>180.27865385041068</v>
      </c>
      <c r="K86" s="77">
        <v>314.28800977530722</v>
      </c>
      <c r="L86" s="77">
        <v>127.39783752275068</v>
      </c>
      <c r="M86" s="77">
        <v>122.22185592489654</v>
      </c>
      <c r="N86" s="77">
        <v>113.17961495141039</v>
      </c>
      <c r="O86" s="77">
        <v>27.182923665687994</v>
      </c>
      <c r="P86" s="77">
        <v>38.743078543172174</v>
      </c>
      <c r="Q86" s="77">
        <v>41.723315354185416</v>
      </c>
      <c r="R86" s="77">
        <v>44.703552165198658</v>
      </c>
      <c r="S86" s="77">
        <v>47.6837889762119</v>
      </c>
      <c r="T86" s="77">
        <v>62.818909714725628</v>
      </c>
      <c r="U86" s="77">
        <v>79.384016797651171</v>
      </c>
      <c r="V86" s="77">
        <v>182.70382596187116</v>
      </c>
      <c r="W86" s="77">
        <v>328.92322545844576</v>
      </c>
      <c r="X86" s="77">
        <v>119.07602519647675</v>
      </c>
      <c r="Y86" s="77">
        <v>110.85689949657463</v>
      </c>
      <c r="Z86" s="77">
        <v>98.347814763437043</v>
      </c>
      <c r="AA86" s="50">
        <v>2288.4467268094327</v>
      </c>
      <c r="AB86" s="60">
        <f>SUH!$Y$11*SUH!$Y$15</f>
        <v>15.757379999999998</v>
      </c>
      <c r="AC86" s="57">
        <f t="shared" si="13"/>
        <v>2304.2041068094327</v>
      </c>
    </row>
    <row r="87" spans="1:29">
      <c r="A87" s="57">
        <v>34</v>
      </c>
      <c r="B87" s="57"/>
      <c r="C87" s="77"/>
      <c r="D87" s="77">
        <v>0</v>
      </c>
      <c r="E87" s="77">
        <v>10.289055904673692</v>
      </c>
      <c r="F87" s="77">
        <v>20.578111809347384</v>
      </c>
      <c r="G87" s="77">
        <v>30.867167714021026</v>
      </c>
      <c r="H87" s="77">
        <v>48.888742369958656</v>
      </c>
      <c r="I87" s="77">
        <v>70.776576401528175</v>
      </c>
      <c r="J87" s="77">
        <v>154.52456044320923</v>
      </c>
      <c r="K87" s="77">
        <v>275.00200855339375</v>
      </c>
      <c r="L87" s="77">
        <v>113.24252224244509</v>
      </c>
      <c r="M87" s="77">
        <v>109.99967033240686</v>
      </c>
      <c r="N87" s="77">
        <v>102.89055904673671</v>
      </c>
      <c r="O87" s="77">
        <v>24.917680026880664</v>
      </c>
      <c r="P87" s="77">
        <v>35.762841732158925</v>
      </c>
      <c r="Q87" s="77">
        <v>38.743078543172174</v>
      </c>
      <c r="R87" s="77">
        <v>41.723315354185416</v>
      </c>
      <c r="S87" s="77">
        <v>44.703552165198658</v>
      </c>
      <c r="T87" s="77">
        <v>59.123679731506478</v>
      </c>
      <c r="U87" s="77">
        <v>74.973793642226113</v>
      </c>
      <c r="V87" s="77">
        <v>156.60327939588956</v>
      </c>
      <c r="W87" s="77">
        <v>287.80782227614003</v>
      </c>
      <c r="X87" s="77">
        <v>105.84535573020158</v>
      </c>
      <c r="Y87" s="77">
        <v>99.771209546917163</v>
      </c>
      <c r="Z87" s="77">
        <v>89.407104330397303</v>
      </c>
      <c r="AA87" s="50">
        <v>1996.4416872925947</v>
      </c>
      <c r="AB87" s="60">
        <f>SUH!$Y$11*SUH!$Y$15</f>
        <v>15.757379999999998</v>
      </c>
      <c r="AC87" s="57">
        <f t="shared" si="13"/>
        <v>2012.1990672925947</v>
      </c>
    </row>
    <row r="88" spans="1:29">
      <c r="A88" s="57">
        <v>35</v>
      </c>
      <c r="B88" s="57"/>
      <c r="C88" s="77"/>
      <c r="D88" s="77"/>
      <c r="E88" s="77">
        <v>0</v>
      </c>
      <c r="F88" s="77">
        <v>10.289055904673692</v>
      </c>
      <c r="G88" s="77">
        <v>20.578111809347384</v>
      </c>
      <c r="H88" s="77">
        <v>36.666556777468976</v>
      </c>
      <c r="I88" s="77">
        <v>56.621261121222581</v>
      </c>
      <c r="J88" s="77">
        <v>128.77046703600763</v>
      </c>
      <c r="K88" s="77">
        <v>235.71600733148048</v>
      </c>
      <c r="L88" s="77">
        <v>99.087206962139419</v>
      </c>
      <c r="M88" s="77">
        <v>97.777484739917242</v>
      </c>
      <c r="N88" s="77">
        <v>92.601503142063024</v>
      </c>
      <c r="O88" s="77">
        <v>22.652436388073333</v>
      </c>
      <c r="P88" s="77">
        <v>32.782604921145683</v>
      </c>
      <c r="Q88" s="77">
        <v>35.762841732158925</v>
      </c>
      <c r="R88" s="77">
        <v>38.743078543172174</v>
      </c>
      <c r="S88" s="77">
        <v>41.723315354185416</v>
      </c>
      <c r="T88" s="77">
        <v>55.428449748287321</v>
      </c>
      <c r="U88" s="77">
        <v>70.563570486801055</v>
      </c>
      <c r="V88" s="77">
        <v>147.90309720722905</v>
      </c>
      <c r="W88" s="77">
        <v>246.69241909383433</v>
      </c>
      <c r="X88" s="77">
        <v>92.614686263926373</v>
      </c>
      <c r="Y88" s="77">
        <v>88.685519597259713</v>
      </c>
      <c r="Z88" s="77">
        <v>80.466393897357577</v>
      </c>
      <c r="AA88" s="50">
        <v>1732.1260680577511</v>
      </c>
      <c r="AB88" s="60">
        <f>SUH!$Y$11*SUH!$Y$15</f>
        <v>15.757379999999998</v>
      </c>
      <c r="AC88" s="57">
        <f t="shared" si="13"/>
        <v>1747.8834480577511</v>
      </c>
    </row>
    <row r="89" spans="1:29">
      <c r="A89" s="57">
        <v>36</v>
      </c>
      <c r="B89" s="57"/>
      <c r="C89" s="77"/>
      <c r="D89" s="77"/>
      <c r="E89" s="77"/>
      <c r="F89" s="77">
        <v>0</v>
      </c>
      <c r="G89" s="77">
        <v>10.289055904673692</v>
      </c>
      <c r="H89" s="77">
        <v>24.444371184979357</v>
      </c>
      <c r="I89" s="77">
        <v>42.465945840916916</v>
      </c>
      <c r="J89" s="77">
        <v>103.01637362880619</v>
      </c>
      <c r="K89" s="77">
        <v>196.43000610956699</v>
      </c>
      <c r="L89" s="77">
        <v>84.931891681833832</v>
      </c>
      <c r="M89" s="77">
        <v>85.555299147427561</v>
      </c>
      <c r="N89" s="77">
        <v>82.312447237389378</v>
      </c>
      <c r="O89" s="77">
        <v>20.387192749265996</v>
      </c>
      <c r="P89" s="77">
        <v>29.802368110132441</v>
      </c>
      <c r="Q89" s="77">
        <v>32.782604921145683</v>
      </c>
      <c r="R89" s="77">
        <v>35.762841732158925</v>
      </c>
      <c r="S89" s="77">
        <v>38.743078543172174</v>
      </c>
      <c r="T89" s="77">
        <v>51.733219765068171</v>
      </c>
      <c r="U89" s="77">
        <v>66.153347331375983</v>
      </c>
      <c r="V89" s="77">
        <v>139.20291501856852</v>
      </c>
      <c r="W89" s="77">
        <v>232.98728469973241</v>
      </c>
      <c r="X89" s="77">
        <v>79.384016797651171</v>
      </c>
      <c r="Y89" s="77">
        <v>77.599829647602249</v>
      </c>
      <c r="Z89" s="77">
        <v>71.525683464317851</v>
      </c>
      <c r="AA89" s="50">
        <v>1505.5097735157854</v>
      </c>
      <c r="AB89" s="60">
        <f>SUH!$Y$11*SUH!$Y$15</f>
        <v>15.757379999999998</v>
      </c>
      <c r="AC89" s="57">
        <f t="shared" si="13"/>
        <v>1521.2671535157854</v>
      </c>
    </row>
    <row r="90" spans="1:29">
      <c r="A90" s="57">
        <v>37</v>
      </c>
      <c r="B90" s="57"/>
      <c r="C90" s="77"/>
      <c r="D90" s="77"/>
      <c r="E90" s="77"/>
      <c r="F90" s="77"/>
      <c r="G90" s="77">
        <v>0</v>
      </c>
      <c r="H90" s="77">
        <v>12.222185592489678</v>
      </c>
      <c r="I90" s="77">
        <v>28.310630560611326</v>
      </c>
      <c r="J90" s="77">
        <v>77.262280221604613</v>
      </c>
      <c r="K90" s="77">
        <v>157.14400488765372</v>
      </c>
      <c r="L90" s="77">
        <v>70.776576401528175</v>
      </c>
      <c r="M90" s="77">
        <v>73.333113554937952</v>
      </c>
      <c r="N90" s="77">
        <v>72.02339133271569</v>
      </c>
      <c r="O90" s="77">
        <v>18.121949110458669</v>
      </c>
      <c r="P90" s="77">
        <v>26.822131299119189</v>
      </c>
      <c r="Q90" s="77">
        <v>29.802368110132441</v>
      </c>
      <c r="R90" s="77">
        <v>32.782604921145683</v>
      </c>
      <c r="S90" s="77">
        <v>35.762841732158925</v>
      </c>
      <c r="T90" s="77">
        <v>48.037989781849021</v>
      </c>
      <c r="U90" s="77">
        <v>61.743124175950925</v>
      </c>
      <c r="V90" s="77">
        <v>130.50273282990798</v>
      </c>
      <c r="W90" s="77">
        <v>219.28215030563052</v>
      </c>
      <c r="X90" s="77">
        <v>74.973793642226113</v>
      </c>
      <c r="Y90" s="77">
        <v>66.514139697944785</v>
      </c>
      <c r="Z90" s="77">
        <v>62.584973031278118</v>
      </c>
      <c r="AA90" s="50">
        <v>1298.0029811893435</v>
      </c>
      <c r="AB90" s="60">
        <f>SUH!$Y$11*SUH!$Y$15</f>
        <v>15.757379999999998</v>
      </c>
      <c r="AC90" s="57">
        <f t="shared" si="13"/>
        <v>1313.7603611893435</v>
      </c>
    </row>
    <row r="91" spans="1:29">
      <c r="A91" s="57">
        <v>38</v>
      </c>
      <c r="B91" s="57"/>
      <c r="C91" s="77"/>
      <c r="D91" s="77"/>
      <c r="E91" s="77"/>
      <c r="F91" s="77"/>
      <c r="G91" s="77"/>
      <c r="H91" s="77">
        <v>0</v>
      </c>
      <c r="I91" s="77">
        <v>14.155315280305663</v>
      </c>
      <c r="J91" s="77">
        <v>51.50818681440316</v>
      </c>
      <c r="K91" s="77">
        <v>117.85800366574024</v>
      </c>
      <c r="L91" s="77">
        <v>56.621261121222581</v>
      </c>
      <c r="M91" s="77">
        <v>61.110927962448272</v>
      </c>
      <c r="N91" s="77">
        <v>61.734335428042051</v>
      </c>
      <c r="O91" s="77">
        <v>15.856705471651329</v>
      </c>
      <c r="P91" s="77">
        <v>23.841894488105954</v>
      </c>
      <c r="Q91" s="77">
        <v>26.822131299119189</v>
      </c>
      <c r="R91" s="77">
        <v>29.802368110132441</v>
      </c>
      <c r="S91" s="77">
        <v>32.782604921145683</v>
      </c>
      <c r="T91" s="77">
        <v>44.342759798629857</v>
      </c>
      <c r="U91" s="77">
        <v>57.33290102052586</v>
      </c>
      <c r="V91" s="77">
        <v>121.80255064124745</v>
      </c>
      <c r="W91" s="77">
        <v>205.57701591152863</v>
      </c>
      <c r="X91" s="77">
        <v>70.563570486801055</v>
      </c>
      <c r="Y91" s="77">
        <v>62.818909714725628</v>
      </c>
      <c r="Z91" s="77">
        <v>53.644262598238392</v>
      </c>
      <c r="AA91" s="50">
        <v>1108.1757047340132</v>
      </c>
      <c r="AB91" s="60">
        <f>SUH!$Y$11*SUH!$Y$15</f>
        <v>15.757379999999998</v>
      </c>
      <c r="AC91" s="57">
        <f t="shared" si="13"/>
        <v>1123.9330847340132</v>
      </c>
    </row>
    <row r="92" spans="1:29">
      <c r="A92" s="57">
        <v>39</v>
      </c>
      <c r="B92" s="57"/>
      <c r="C92" s="77"/>
      <c r="D92" s="77"/>
      <c r="E92" s="77"/>
      <c r="F92" s="77"/>
      <c r="G92" s="77"/>
      <c r="H92" s="77"/>
      <c r="I92" s="77">
        <v>0</v>
      </c>
      <c r="J92" s="77">
        <v>25.75409340720158</v>
      </c>
      <c r="K92" s="77">
        <v>78.57200244382696</v>
      </c>
      <c r="L92" s="77">
        <v>42.465945840916916</v>
      </c>
      <c r="M92" s="77">
        <v>48.888742369958656</v>
      </c>
      <c r="N92" s="77">
        <v>51.445279523368356</v>
      </c>
      <c r="O92" s="77">
        <v>13.591461832844004</v>
      </c>
      <c r="P92" s="77">
        <v>20.861657677092705</v>
      </c>
      <c r="Q92" s="77">
        <v>23.841894488105954</v>
      </c>
      <c r="R92" s="77">
        <v>26.822131299119189</v>
      </c>
      <c r="S92" s="77">
        <v>29.802368110132441</v>
      </c>
      <c r="T92" s="77">
        <v>40.647529815410699</v>
      </c>
      <c r="U92" s="77">
        <v>52.922677865100788</v>
      </c>
      <c r="V92" s="77">
        <v>113.10236845258693</v>
      </c>
      <c r="W92" s="77">
        <v>191.87188151742671</v>
      </c>
      <c r="X92" s="77">
        <v>66.153347331375983</v>
      </c>
      <c r="Y92" s="77">
        <v>59.123679731506478</v>
      </c>
      <c r="Z92" s="77">
        <v>50.664025787225142</v>
      </c>
      <c r="AA92" s="50">
        <v>936.53108749319949</v>
      </c>
      <c r="AB92" s="60">
        <f>SUH!$Y$11*SUH!$Y$15</f>
        <v>15.757379999999998</v>
      </c>
      <c r="AC92" s="57">
        <f t="shared" si="13"/>
        <v>952.28846749319951</v>
      </c>
    </row>
    <row r="93" spans="1:29">
      <c r="A93" s="57">
        <v>40</v>
      </c>
      <c r="B93" s="57"/>
      <c r="C93" s="77"/>
      <c r="D93" s="77"/>
      <c r="E93" s="77"/>
      <c r="F93" s="77"/>
      <c r="G93" s="77"/>
      <c r="H93" s="77"/>
      <c r="I93" s="77"/>
      <c r="J93" s="77">
        <v>0</v>
      </c>
      <c r="K93" s="77">
        <v>39.28600122191348</v>
      </c>
      <c r="L93" s="77">
        <v>28.310630560611326</v>
      </c>
      <c r="M93" s="77">
        <v>36.666556777468976</v>
      </c>
      <c r="N93" s="77">
        <v>41.156223618694717</v>
      </c>
      <c r="O93" s="77">
        <v>11.326218194036667</v>
      </c>
      <c r="P93" s="77">
        <v>17.88142086607947</v>
      </c>
      <c r="Q93" s="77">
        <v>20.861657677092705</v>
      </c>
      <c r="R93" s="77">
        <v>23.841894488105954</v>
      </c>
      <c r="S93" s="77">
        <v>26.822131299119189</v>
      </c>
      <c r="T93" s="77">
        <v>36.952299832191549</v>
      </c>
      <c r="U93" s="77">
        <v>48.512454709675723</v>
      </c>
      <c r="V93" s="77">
        <v>104.40218626392638</v>
      </c>
      <c r="W93" s="77">
        <v>178.16674712332482</v>
      </c>
      <c r="X93" s="77">
        <v>61.743124175950925</v>
      </c>
      <c r="Y93" s="77">
        <v>55.428449748287321</v>
      </c>
      <c r="Z93" s="77">
        <v>47.6837889762119</v>
      </c>
      <c r="AA93" s="50">
        <v>779.04178553269116</v>
      </c>
      <c r="AB93" s="60">
        <f>SUH!$Y$11*SUH!$Y$15</f>
        <v>15.757379999999998</v>
      </c>
      <c r="AC93" s="57">
        <f t="shared" si="13"/>
        <v>794.79916553269118</v>
      </c>
    </row>
    <row r="94" spans="1:29">
      <c r="A94" s="57">
        <v>41</v>
      </c>
      <c r="B94" s="57"/>
      <c r="C94" s="77"/>
      <c r="D94" s="77"/>
      <c r="E94" s="77"/>
      <c r="F94" s="77"/>
      <c r="G94" s="77"/>
      <c r="H94" s="77"/>
      <c r="I94" s="77"/>
      <c r="J94" s="77"/>
      <c r="K94" s="77">
        <v>0</v>
      </c>
      <c r="L94" s="77">
        <v>14.155315280305663</v>
      </c>
      <c r="M94" s="77">
        <v>24.444371184979357</v>
      </c>
      <c r="N94" s="77">
        <v>30.867167714021026</v>
      </c>
      <c r="O94" s="77">
        <v>9.0609745552293397</v>
      </c>
      <c r="P94" s="77">
        <v>14.901184055066221</v>
      </c>
      <c r="Q94" s="77">
        <v>17.88142086607947</v>
      </c>
      <c r="R94" s="77">
        <v>20.861657677092705</v>
      </c>
      <c r="S94" s="77">
        <v>23.841894488105954</v>
      </c>
      <c r="T94" s="77">
        <v>33.257069848972385</v>
      </c>
      <c r="U94" s="77">
        <v>44.102231554250658</v>
      </c>
      <c r="V94" s="77">
        <v>95.702004075265847</v>
      </c>
      <c r="W94" s="77">
        <v>164.46161272922288</v>
      </c>
      <c r="X94" s="77">
        <v>57.33290102052586</v>
      </c>
      <c r="Y94" s="77">
        <v>51.733219765068171</v>
      </c>
      <c r="Z94" s="77">
        <v>44.703552165198658</v>
      </c>
      <c r="AA94" s="50">
        <v>647.30657697938409</v>
      </c>
      <c r="AB94" s="60">
        <f>SUH!$Y$11*SUH!$Y$15</f>
        <v>15.757379999999998</v>
      </c>
      <c r="AC94" s="57">
        <f t="shared" si="13"/>
        <v>663.0639569793841</v>
      </c>
    </row>
    <row r="95" spans="1:29">
      <c r="A95" s="57">
        <v>42</v>
      </c>
      <c r="B95" s="57"/>
      <c r="C95" s="77"/>
      <c r="D95" s="77"/>
      <c r="E95" s="77"/>
      <c r="F95" s="77"/>
      <c r="G95" s="77"/>
      <c r="H95" s="77"/>
      <c r="I95" s="77"/>
      <c r="J95" s="77"/>
      <c r="K95" s="77"/>
      <c r="L95" s="77">
        <v>0</v>
      </c>
      <c r="M95" s="77">
        <v>12.222185592489678</v>
      </c>
      <c r="N95" s="77">
        <v>20.578111809347384</v>
      </c>
      <c r="O95" s="77">
        <v>6.7957309164220021</v>
      </c>
      <c r="P95" s="77">
        <v>11.920947244052986</v>
      </c>
      <c r="Q95" s="77">
        <v>14.901184055066221</v>
      </c>
      <c r="R95" s="77">
        <v>17.88142086607947</v>
      </c>
      <c r="S95" s="77">
        <v>20.861657677092705</v>
      </c>
      <c r="T95" s="77">
        <v>29.561839865753242</v>
      </c>
      <c r="U95" s="77">
        <v>39.692008398825585</v>
      </c>
      <c r="V95" s="77">
        <v>87.001821886605327</v>
      </c>
      <c r="W95" s="77">
        <v>150.75647833512099</v>
      </c>
      <c r="X95" s="77">
        <v>52.922677865100788</v>
      </c>
      <c r="Y95" s="77">
        <v>48.037989781849021</v>
      </c>
      <c r="Z95" s="77">
        <v>41.723315354185416</v>
      </c>
      <c r="AA95" s="50">
        <v>554.85736964799082</v>
      </c>
      <c r="AB95" s="60">
        <f>SUH!$Y$11*SUH!$Y$15</f>
        <v>15.757379999999998</v>
      </c>
      <c r="AC95" s="57">
        <f t="shared" si="13"/>
        <v>570.61474964799083</v>
      </c>
    </row>
    <row r="96" spans="1:29">
      <c r="A96" s="57">
        <v>43</v>
      </c>
      <c r="B96" s="5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>
        <v>0</v>
      </c>
      <c r="N96" s="77">
        <v>10.289055904673692</v>
      </c>
      <c r="O96" s="77">
        <v>4.5304872776146752</v>
      </c>
      <c r="P96" s="77">
        <v>8.9407104330397349</v>
      </c>
      <c r="Q96" s="77">
        <v>11.920947244052986</v>
      </c>
      <c r="R96" s="77">
        <v>14.901184055066221</v>
      </c>
      <c r="S96" s="77">
        <v>17.88142086607947</v>
      </c>
      <c r="T96" s="77">
        <v>25.866609882534082</v>
      </c>
      <c r="U96" s="77">
        <v>35.281785243400527</v>
      </c>
      <c r="V96" s="77">
        <v>78.301639697944779</v>
      </c>
      <c r="W96" s="77">
        <v>137.05134394101907</v>
      </c>
      <c r="X96" s="77">
        <v>48.512454709675723</v>
      </c>
      <c r="Y96" s="77">
        <v>44.342759798629857</v>
      </c>
      <c r="Z96" s="77">
        <v>38.743078543172174</v>
      </c>
      <c r="AA96" s="50">
        <v>476.563477596903</v>
      </c>
      <c r="AB96" s="60">
        <f>SUH!$Y$11*SUH!$Y$15</f>
        <v>15.757379999999998</v>
      </c>
      <c r="AC96" s="57">
        <f t="shared" si="13"/>
        <v>492.32085759690301</v>
      </c>
    </row>
    <row r="97" spans="1:29">
      <c r="A97" s="57">
        <v>44</v>
      </c>
      <c r="B97" s="5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>
        <v>0</v>
      </c>
      <c r="O97" s="77">
        <v>2.2652436388073376</v>
      </c>
      <c r="P97" s="77">
        <v>5.9604736220265</v>
      </c>
      <c r="Q97" s="77">
        <v>8.9407104330397349</v>
      </c>
      <c r="R97" s="77">
        <v>11.920947244052986</v>
      </c>
      <c r="S97" s="77">
        <v>14.901184055066221</v>
      </c>
      <c r="T97" s="77">
        <v>22.171379899314935</v>
      </c>
      <c r="U97" s="77">
        <v>30.871562087975455</v>
      </c>
      <c r="V97" s="77">
        <v>69.601457509284273</v>
      </c>
      <c r="W97" s="77">
        <v>123.34620954691715</v>
      </c>
      <c r="X97" s="77">
        <v>44.102231554250658</v>
      </c>
      <c r="Y97" s="77">
        <v>40.647529815410699</v>
      </c>
      <c r="Z97" s="77">
        <v>35.762841732158925</v>
      </c>
      <c r="AA97" s="50">
        <v>410.49177113830478</v>
      </c>
      <c r="AB97" s="60">
        <f>SUH!$Y$11*SUH!$Y$15</f>
        <v>15.757379999999998</v>
      </c>
      <c r="AC97" s="57">
        <f t="shared" si="13"/>
        <v>426.2491511383048</v>
      </c>
    </row>
    <row r="98" spans="1:29">
      <c r="A98" s="57">
        <v>45</v>
      </c>
      <c r="B98" s="5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>
        <v>0</v>
      </c>
      <c r="P98" s="77">
        <v>2.98023681101325</v>
      </c>
      <c r="Q98" s="77">
        <v>5.9604736220265</v>
      </c>
      <c r="R98" s="77">
        <v>8.9407104330397349</v>
      </c>
      <c r="S98" s="77">
        <v>11.920947244052986</v>
      </c>
      <c r="T98" s="77">
        <v>18.476149916095775</v>
      </c>
      <c r="U98" s="77">
        <v>26.461338932550404</v>
      </c>
      <c r="V98" s="77">
        <v>60.901275320623718</v>
      </c>
      <c r="W98" s="77">
        <v>109.64107515281528</v>
      </c>
      <c r="X98" s="77">
        <v>39.692008398825585</v>
      </c>
      <c r="Y98" s="77">
        <v>36.952299832191549</v>
      </c>
      <c r="Z98" s="77">
        <v>32.782604921145683</v>
      </c>
      <c r="AA98" s="50">
        <v>354.70912058438046</v>
      </c>
      <c r="AB98" s="60">
        <f>SUH!$Y$11*SUH!$Y$15</f>
        <v>15.757379999999998</v>
      </c>
      <c r="AC98" s="57">
        <f t="shared" si="13"/>
        <v>370.46650058438047</v>
      </c>
    </row>
    <row r="99" spans="1:29">
      <c r="A99" s="57">
        <v>46</v>
      </c>
      <c r="B99" s="5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>
        <v>0</v>
      </c>
      <c r="Q99" s="77">
        <v>2.98023681101325</v>
      </c>
      <c r="R99" s="77">
        <v>5.9604736220265</v>
      </c>
      <c r="S99" s="77">
        <v>8.9407104330397349</v>
      </c>
      <c r="T99" s="77">
        <v>14.78091993287663</v>
      </c>
      <c r="U99" s="77">
        <v>22.051115777125329</v>
      </c>
      <c r="V99" s="77">
        <v>52.201093131963212</v>
      </c>
      <c r="W99" s="77">
        <v>95.935940758713343</v>
      </c>
      <c r="X99" s="77">
        <v>35.281785243400527</v>
      </c>
      <c r="Y99" s="77">
        <v>33.257069848972385</v>
      </c>
      <c r="Z99" s="77">
        <v>29.802368110132441</v>
      </c>
      <c r="AA99" s="50">
        <v>301.19171366926332</v>
      </c>
      <c r="AB99" s="60">
        <f>SUH!$Y$11*SUH!$Y$15</f>
        <v>15.757379999999998</v>
      </c>
      <c r="AC99" s="57">
        <f t="shared" si="13"/>
        <v>316.94909366926333</v>
      </c>
    </row>
    <row r="100" spans="1:29">
      <c r="A100" s="57">
        <v>47</v>
      </c>
      <c r="B100" s="5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>
        <v>0</v>
      </c>
      <c r="R100" s="77">
        <v>2.98023681101325</v>
      </c>
      <c r="S100" s="77">
        <v>5.9604736220265</v>
      </c>
      <c r="T100" s="77">
        <v>11.085689949657468</v>
      </c>
      <c r="U100" s="77">
        <v>17.640892621700278</v>
      </c>
      <c r="V100" s="77">
        <v>43.500910943302664</v>
      </c>
      <c r="W100" s="77">
        <v>82.230806364611482</v>
      </c>
      <c r="X100" s="77">
        <v>30.871562087975455</v>
      </c>
      <c r="Y100" s="77">
        <v>29.561839865753242</v>
      </c>
      <c r="Z100" s="77">
        <v>26.822131299119189</v>
      </c>
      <c r="AA100" s="50">
        <v>250.65454356515954</v>
      </c>
      <c r="AB100" s="60">
        <f>SUH!$Y$11*SUH!$Y$15</f>
        <v>15.757379999999998</v>
      </c>
      <c r="AC100" s="57">
        <f t="shared" si="13"/>
        <v>266.41192356515955</v>
      </c>
    </row>
    <row r="101" spans="1:29">
      <c r="A101" s="57">
        <v>48</v>
      </c>
      <c r="B101" s="5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>
        <v>0</v>
      </c>
      <c r="S101" s="77">
        <v>2.98023681101325</v>
      </c>
      <c r="T101" s="77">
        <v>7.3904599664383248</v>
      </c>
      <c r="U101" s="77">
        <v>13.230669466275202</v>
      </c>
      <c r="V101" s="77">
        <v>34.800728754642158</v>
      </c>
      <c r="W101" s="77">
        <v>68.525671970509535</v>
      </c>
      <c r="X101" s="77">
        <v>26.461338932550404</v>
      </c>
      <c r="Y101" s="77">
        <v>25.866609882534082</v>
      </c>
      <c r="Z101" s="77">
        <v>23.841894488105954</v>
      </c>
      <c r="AA101" s="50">
        <v>203.09761027206892</v>
      </c>
      <c r="AB101" s="60">
        <f>SUH!$Y$11*SUH!$Y$15</f>
        <v>15.757379999999998</v>
      </c>
      <c r="AC101" s="57">
        <f t="shared" si="13"/>
        <v>218.8549902720689</v>
      </c>
    </row>
    <row r="102" spans="1:29">
      <c r="A102" s="57">
        <v>49</v>
      </c>
      <c r="B102" s="5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>
        <v>0</v>
      </c>
      <c r="T102" s="77">
        <v>3.6952299832191624</v>
      </c>
      <c r="U102" s="77">
        <v>8.8204463108501496</v>
      </c>
      <c r="V102" s="77">
        <v>26.100546565981606</v>
      </c>
      <c r="W102" s="77">
        <v>54.820537576407673</v>
      </c>
      <c r="X102" s="77">
        <v>22.051115777125329</v>
      </c>
      <c r="Y102" s="77">
        <v>22.171379899314935</v>
      </c>
      <c r="Z102" s="77">
        <v>20.861657677092705</v>
      </c>
      <c r="AA102" s="50">
        <v>158.52091378999157</v>
      </c>
      <c r="AB102" s="60">
        <f>SUH!$Y$11*SUH!$Y$15</f>
        <v>15.757379999999998</v>
      </c>
      <c r="AC102" s="57">
        <f t="shared" si="13"/>
        <v>174.27829378999155</v>
      </c>
    </row>
    <row r="103" spans="1:29">
      <c r="A103" s="57">
        <v>50</v>
      </c>
      <c r="B103" s="5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>
        <v>0</v>
      </c>
      <c r="U103" s="77">
        <v>4.4102231554250748</v>
      </c>
      <c r="V103" s="77">
        <v>17.4003643773211</v>
      </c>
      <c r="W103" s="77">
        <v>41.115403182305741</v>
      </c>
      <c r="X103" s="77">
        <v>17.640892621700278</v>
      </c>
      <c r="Y103" s="77">
        <v>18.476149916095775</v>
      </c>
      <c r="Z103" s="77">
        <v>17.88142086607947</v>
      </c>
      <c r="AA103" s="50">
        <v>116.92445411892744</v>
      </c>
      <c r="AB103" s="60">
        <f>SUH!$Y$11*SUH!$Y$15</f>
        <v>15.757379999999998</v>
      </c>
      <c r="AC103" s="57">
        <f t="shared" si="13"/>
        <v>132.68183411892744</v>
      </c>
    </row>
    <row r="104" spans="1:29">
      <c r="A104" s="57">
        <v>51</v>
      </c>
      <c r="B104" s="5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>
        <v>0</v>
      </c>
      <c r="V104" s="77">
        <v>8.7001821886605502</v>
      </c>
      <c r="W104" s="77">
        <v>27.410268788203872</v>
      </c>
      <c r="X104" s="77">
        <v>13.230669466275202</v>
      </c>
      <c r="Y104" s="77">
        <v>14.78091993287663</v>
      </c>
      <c r="Z104" s="77">
        <v>14.901184055066221</v>
      </c>
      <c r="AA104" s="50">
        <v>79.023224431082483</v>
      </c>
      <c r="AB104" s="60">
        <f>SUH!$Y$11*SUH!$Y$15</f>
        <v>15.757379999999998</v>
      </c>
      <c r="AC104" s="57">
        <f t="shared" si="13"/>
        <v>94.78060443108248</v>
      </c>
    </row>
    <row r="105" spans="1:29">
      <c r="A105" s="57">
        <v>52</v>
      </c>
      <c r="B105" s="5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>
        <v>0</v>
      </c>
      <c r="W105" s="77">
        <v>13.705134394101936</v>
      </c>
      <c r="X105" s="77">
        <v>8.8204463108501496</v>
      </c>
      <c r="Y105" s="77">
        <v>11.085689949657468</v>
      </c>
      <c r="Z105" s="77">
        <v>11.920947244052986</v>
      </c>
      <c r="AA105" s="50">
        <v>45.532217898662537</v>
      </c>
      <c r="AB105" s="60">
        <f>SUH!$Y$11*SUH!$Y$15</f>
        <v>15.757379999999998</v>
      </c>
      <c r="AC105" s="57">
        <f t="shared" si="13"/>
        <v>61.289597898662535</v>
      </c>
    </row>
    <row r="106" spans="1:29">
      <c r="A106" s="57">
        <v>53</v>
      </c>
      <c r="B106" s="5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>
        <v>0</v>
      </c>
      <c r="X106" s="77">
        <v>4.4102231554250748</v>
      </c>
      <c r="Y106" s="77">
        <v>7.3904599664383248</v>
      </c>
      <c r="Z106" s="77">
        <v>8.9407104330397349</v>
      </c>
      <c r="AA106" s="50">
        <v>20.741393554903134</v>
      </c>
      <c r="AB106" s="60">
        <f>SUH!$Y$11*SUH!$Y$15</f>
        <v>15.757379999999998</v>
      </c>
      <c r="AC106" s="57">
        <f t="shared" si="13"/>
        <v>36.498773554903131</v>
      </c>
    </row>
    <row r="107" spans="1:29">
      <c r="A107" s="57">
        <v>54</v>
      </c>
      <c r="B107" s="5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>
        <v>0</v>
      </c>
      <c r="Y107" s="77">
        <v>3.6952299832191624</v>
      </c>
      <c r="Z107" s="77">
        <v>5.9604736220265</v>
      </c>
      <c r="AA107" s="50">
        <v>9.6557036052456624</v>
      </c>
      <c r="AB107" s="60">
        <f>SUH!$Y$11*SUH!$Y$15</f>
        <v>15.757379999999998</v>
      </c>
      <c r="AC107" s="57">
        <f t="shared" si="13"/>
        <v>25.41308360524566</v>
      </c>
    </row>
    <row r="108" spans="1:29">
      <c r="A108" s="57">
        <v>55</v>
      </c>
      <c r="B108" s="5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>
        <v>0</v>
      </c>
      <c r="Z108" s="77">
        <v>2.98023681101325</v>
      </c>
      <c r="AA108" s="50">
        <v>2.98023681101325</v>
      </c>
      <c r="AB108" s="60">
        <f>SUH!$Y$11*SUH!$Y$15</f>
        <v>15.757379999999998</v>
      </c>
      <c r="AC108" s="57">
        <f t="shared" si="13"/>
        <v>18.737616811013247</v>
      </c>
    </row>
    <row r="109" spans="1:29">
      <c r="A109" s="57">
        <v>56</v>
      </c>
      <c r="B109" s="5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>
        <v>0</v>
      </c>
      <c r="AA109" s="50">
        <v>0</v>
      </c>
      <c r="AB109" s="60">
        <f>SUH!$Y$11*SUH!$Y$15</f>
        <v>15.757379999999998</v>
      </c>
      <c r="AC109" s="57">
        <f t="shared" si="13"/>
        <v>15.757379999999998</v>
      </c>
    </row>
    <row r="110" spans="1:29">
      <c r="A110" s="57">
        <v>57</v>
      </c>
      <c r="B110" s="5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50"/>
      <c r="AB110" s="60"/>
      <c r="AC110" s="57"/>
    </row>
    <row r="111" spans="1:29" hidden="1">
      <c r="A111" s="57">
        <v>58</v>
      </c>
      <c r="B111" s="5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50"/>
      <c r="AB111" s="60"/>
      <c r="AC111" s="57"/>
    </row>
    <row r="112" spans="1:29" hidden="1">
      <c r="A112" s="57">
        <v>59</v>
      </c>
      <c r="B112" s="5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50"/>
      <c r="AB112" s="60"/>
      <c r="AC112" s="57"/>
    </row>
    <row r="113" spans="1:29" hidden="1">
      <c r="A113" s="57">
        <v>60</v>
      </c>
      <c r="B113" s="5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50"/>
      <c r="AB113" s="60"/>
      <c r="AC113" s="57"/>
    </row>
    <row r="114" spans="1:29" hidden="1">
      <c r="A114" s="57">
        <v>61</v>
      </c>
      <c r="B114" s="5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50"/>
      <c r="AB114" s="60"/>
      <c r="AC114" s="57"/>
    </row>
    <row r="115" spans="1:29" hidden="1">
      <c r="A115" s="57">
        <v>62</v>
      </c>
      <c r="B115" s="5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50"/>
      <c r="AB115" s="60"/>
      <c r="AC115" s="57"/>
    </row>
    <row r="116" spans="1:29" hidden="1">
      <c r="A116" s="57">
        <v>63</v>
      </c>
      <c r="B116" s="5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50"/>
      <c r="AB116" s="60"/>
      <c r="AC116" s="57"/>
    </row>
    <row r="117" spans="1:29" hidden="1">
      <c r="A117" s="57">
        <v>64</v>
      </c>
      <c r="B117" s="5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50"/>
      <c r="AB117" s="60"/>
      <c r="AC117" s="57"/>
    </row>
    <row r="118" spans="1:29" hidden="1">
      <c r="A118" s="57">
        <v>65</v>
      </c>
      <c r="B118" s="5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50"/>
      <c r="AB118" s="60"/>
      <c r="AC118" s="57"/>
    </row>
    <row r="119" spans="1:29" hidden="1">
      <c r="A119" s="57">
        <v>66</v>
      </c>
      <c r="B119" s="5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50"/>
      <c r="AB119" s="60"/>
      <c r="AC119" s="57"/>
    </row>
    <row r="120" spans="1:29" hidden="1">
      <c r="A120" s="57">
        <v>67</v>
      </c>
      <c r="B120" s="5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50"/>
      <c r="AB120" s="60"/>
      <c r="AC120" s="57"/>
    </row>
    <row r="121" spans="1:29" hidden="1">
      <c r="A121" s="57">
        <v>68</v>
      </c>
      <c r="B121" s="5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50"/>
      <c r="AB121" s="60"/>
      <c r="AC121" s="57"/>
    </row>
    <row r="122" spans="1:29" hidden="1">
      <c r="A122" s="57">
        <v>69</v>
      </c>
      <c r="B122" s="5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50"/>
      <c r="AB122" s="60"/>
      <c r="AC122" s="57"/>
    </row>
    <row r="123" spans="1:29" hidden="1">
      <c r="A123" s="57">
        <v>70</v>
      </c>
      <c r="B123" s="5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50"/>
      <c r="AB123" s="60"/>
      <c r="AC123" s="57"/>
    </row>
    <row r="124" spans="1:29" hidden="1">
      <c r="A124" s="57">
        <v>71</v>
      </c>
      <c r="B124" s="5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50"/>
      <c r="AB124" s="60"/>
      <c r="AC124" s="57"/>
    </row>
    <row r="125" spans="1:29" hidden="1">
      <c r="A125" s="57">
        <v>72</v>
      </c>
      <c r="B125" s="5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50"/>
      <c r="AB125" s="60"/>
      <c r="AC125" s="57"/>
    </row>
    <row r="126" spans="1:29" hidden="1">
      <c r="A126" s="57">
        <v>73</v>
      </c>
      <c r="B126" s="5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50"/>
      <c r="AB126" s="60"/>
      <c r="AC126" s="57"/>
    </row>
    <row r="127" spans="1:29" hidden="1">
      <c r="A127" s="57">
        <v>74</v>
      </c>
      <c r="B127" s="5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50"/>
      <c r="AB127" s="60"/>
      <c r="AC127" s="57"/>
    </row>
    <row r="128" spans="1:29" hidden="1">
      <c r="A128" s="57">
        <v>75</v>
      </c>
      <c r="B128" s="5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50"/>
      <c r="AB128" s="60"/>
      <c r="AC128" s="57"/>
    </row>
    <row r="129" spans="1:29" hidden="1">
      <c r="A129" s="57">
        <v>76</v>
      </c>
      <c r="B129" s="5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50"/>
      <c r="AB129" s="60"/>
      <c r="AC129" s="57"/>
    </row>
    <row r="130" spans="1:29" hidden="1">
      <c r="A130" s="57">
        <v>77</v>
      </c>
      <c r="B130" s="5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50"/>
      <c r="AB130" s="60"/>
      <c r="AC130" s="57"/>
    </row>
    <row r="131" spans="1:29" hidden="1">
      <c r="A131" s="57">
        <v>78</v>
      </c>
      <c r="B131" s="5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50"/>
      <c r="AB131" s="60"/>
      <c r="AC131" s="57"/>
    </row>
    <row r="132" spans="1:29" hidden="1">
      <c r="A132" s="57">
        <v>79</v>
      </c>
      <c r="B132" s="5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50"/>
      <c r="AB132" s="60"/>
      <c r="AC132" s="57"/>
    </row>
    <row r="133" spans="1:29" hidden="1">
      <c r="A133" s="57">
        <v>80</v>
      </c>
      <c r="B133" s="5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50"/>
      <c r="AB133" s="60"/>
      <c r="AC133" s="57"/>
    </row>
    <row r="134" spans="1:29" hidden="1">
      <c r="A134" s="57">
        <v>81</v>
      </c>
      <c r="B134" s="5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50"/>
      <c r="AB134" s="60"/>
      <c r="AC134" s="57"/>
    </row>
    <row r="135" spans="1:29" hidden="1">
      <c r="A135" s="57">
        <v>82</v>
      </c>
      <c r="B135" s="5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50"/>
      <c r="AB135" s="60"/>
      <c r="AC135" s="57"/>
    </row>
    <row r="136" spans="1:29" hidden="1">
      <c r="A136" s="57">
        <v>83</v>
      </c>
      <c r="B136" s="5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50"/>
      <c r="AB136" s="60"/>
      <c r="AC136" s="57"/>
    </row>
    <row r="137" spans="1:29" hidden="1">
      <c r="A137" s="57">
        <v>84</v>
      </c>
      <c r="B137" s="5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50"/>
      <c r="AB137" s="60"/>
      <c r="AC137" s="57"/>
    </row>
    <row r="138" spans="1:29" hidden="1">
      <c r="A138" s="57">
        <v>85</v>
      </c>
      <c r="B138" s="5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50"/>
      <c r="AB138" s="60"/>
      <c r="AC138" s="57"/>
    </row>
    <row r="139" spans="1:29" hidden="1">
      <c r="A139" s="57">
        <v>86</v>
      </c>
      <c r="B139" s="39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50"/>
      <c r="AB139" s="60"/>
      <c r="AC139" s="57"/>
    </row>
    <row r="140" spans="1:29" hidden="1">
      <c r="A140" s="57">
        <v>87</v>
      </c>
      <c r="B140" s="39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50"/>
      <c r="AB140" s="60"/>
      <c r="AC140" s="57"/>
    </row>
    <row r="141" spans="1:29" hidden="1">
      <c r="A141" s="57">
        <v>88</v>
      </c>
      <c r="B141" s="5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50"/>
      <c r="AB141" s="60"/>
      <c r="AC141" s="57"/>
    </row>
    <row r="142" spans="1:29" hidden="1">
      <c r="A142" s="57">
        <v>89</v>
      </c>
      <c r="B142" s="5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50"/>
      <c r="AB142" s="60"/>
      <c r="AC142" s="57"/>
    </row>
    <row r="143" spans="1:29" hidden="1">
      <c r="A143" s="57">
        <v>90</v>
      </c>
      <c r="B143" s="5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50"/>
      <c r="AB143" s="60"/>
      <c r="AC143" s="57"/>
    </row>
    <row r="144" spans="1:29" hidden="1">
      <c r="A144" s="57">
        <v>91</v>
      </c>
      <c r="B144" s="5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50"/>
      <c r="AB144" s="60"/>
      <c r="AC144" s="57"/>
    </row>
    <row r="145" spans="1:29" hidden="1">
      <c r="A145" s="57">
        <v>92</v>
      </c>
      <c r="B145" s="39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50"/>
      <c r="AB145" s="60"/>
      <c r="AC145" s="57"/>
    </row>
    <row r="146" spans="1:29" hidden="1">
      <c r="A146" s="57">
        <v>93</v>
      </c>
      <c r="B146" s="39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50"/>
      <c r="AB146" s="60"/>
      <c r="AC146" s="57"/>
    </row>
    <row r="147" spans="1:29" hidden="1"/>
  </sheetData>
  <mergeCells count="23">
    <mergeCell ref="G14:M14"/>
    <mergeCell ref="N2:O2"/>
    <mergeCell ref="C15:D15"/>
    <mergeCell ref="B3:C3"/>
    <mergeCell ref="N33:O33"/>
    <mergeCell ref="G5:H5"/>
    <mergeCell ref="G6:H6"/>
    <mergeCell ref="G7:H7"/>
    <mergeCell ref="G8:H8"/>
    <mergeCell ref="G9:H9"/>
    <mergeCell ref="G10:H10"/>
    <mergeCell ref="I33:J33"/>
    <mergeCell ref="L33:M33"/>
    <mergeCell ref="K3:L3"/>
    <mergeCell ref="K4:L4"/>
    <mergeCell ref="K5:L5"/>
    <mergeCell ref="A3:A4"/>
    <mergeCell ref="A2:E2"/>
    <mergeCell ref="D3:D4"/>
    <mergeCell ref="E3:E4"/>
    <mergeCell ref="G2:H2"/>
    <mergeCell ref="G3:H3"/>
    <mergeCell ref="G4:H4"/>
  </mergeCells>
  <conditionalFormatting sqref="AC53:AC146">
    <cfRule type="top10" dxfId="16" priority="4" rank="1"/>
  </conditionalFormatting>
  <conditionalFormatting sqref="AA53:AA146">
    <cfRule type="top10" dxfId="15" priority="3" rank="1"/>
  </conditionalFormatting>
  <conditionalFormatting sqref="C53:N97">
    <cfRule type="expression" dxfId="14" priority="2">
      <formula>AND(C53&lt;&gt;"",ISNUMBER(C53),C53&gt;=0)</formula>
    </cfRule>
  </conditionalFormatting>
  <conditionalFormatting sqref="O53:Z109">
    <cfRule type="expression" dxfId="13" priority="1">
      <formula>AND(O53&lt;&gt;"",ISNUMBER(O53),O53&gt;=0)</formula>
    </cfRule>
  </conditionalFormatting>
  <pageMargins left="0.70866141732283472" right="0.70866141732283472" top="0.74803149606299213" bottom="0.74803149606299213" header="0.31496062992125984" footer="0.31496062992125984"/>
  <pageSetup paperSize="8" scale="31" orientation="landscape" r:id="rId1"/>
  <rowBreaks count="1" manualBreakCount="1">
    <brk id="147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116F3-A607-4A78-B9FF-ED9EFCF6FCD1}">
  <sheetPr codeName="Sheet3"/>
  <dimension ref="A2:BF169"/>
  <sheetViews>
    <sheetView zoomScale="70" zoomScaleNormal="70" workbookViewId="0">
      <selection activeCell="K6" sqref="K6"/>
    </sheetView>
  </sheetViews>
  <sheetFormatPr defaultRowHeight="14.4"/>
  <cols>
    <col min="2" max="2" width="13.33203125" customWidth="1"/>
    <col min="3" max="3" width="10.6640625" customWidth="1"/>
    <col min="4" max="4" width="9.88671875" customWidth="1"/>
    <col min="5" max="5" width="11.21875" customWidth="1"/>
    <col min="7" max="7" width="13.77734375" customWidth="1"/>
    <col min="8" max="8" width="20.6640625" customWidth="1"/>
    <col min="9" max="9" width="12.21875" customWidth="1"/>
    <col min="10" max="10" width="11.44140625" customWidth="1"/>
    <col min="11" max="11" width="14.44140625" customWidth="1"/>
    <col min="12" max="12" width="11.44140625" customWidth="1"/>
    <col min="13" max="13" width="13.5546875" customWidth="1"/>
    <col min="14" max="14" width="15.5546875" customWidth="1"/>
    <col min="15" max="15" width="14.5546875" customWidth="1"/>
    <col min="27" max="32" width="9.5546875" bestFit="1" customWidth="1"/>
    <col min="33" max="34" width="10.44140625" bestFit="1" customWidth="1"/>
    <col min="35" max="38" width="9.5546875" bestFit="1" customWidth="1"/>
    <col min="39" max="44" width="9" bestFit="1" customWidth="1"/>
    <col min="45" max="45" width="9.33203125" bestFit="1" customWidth="1"/>
    <col min="46" max="46" width="9.5546875" bestFit="1" customWidth="1"/>
    <col min="47" max="50" width="9" bestFit="1" customWidth="1"/>
    <col min="51" max="51" width="15.88671875" customWidth="1"/>
    <col min="52" max="52" width="12.5546875" customWidth="1"/>
    <col min="53" max="53" width="22.33203125" customWidth="1"/>
    <col min="56" max="56" width="16.109375" customWidth="1"/>
    <col min="57" max="57" width="10.88671875" customWidth="1"/>
  </cols>
  <sheetData>
    <row r="2" spans="1:21">
      <c r="A2" s="145" t="s">
        <v>173</v>
      </c>
      <c r="B2" s="145"/>
      <c r="C2" s="145"/>
      <c r="D2" s="145"/>
      <c r="E2" s="145"/>
      <c r="G2" s="146" t="s">
        <v>174</v>
      </c>
      <c r="H2" s="147"/>
      <c r="I2" s="125">
        <f>E11/10</f>
        <v>52.356110431439006</v>
      </c>
      <c r="J2" s="39" t="s">
        <v>103</v>
      </c>
      <c r="N2" s="159" t="s">
        <v>175</v>
      </c>
      <c r="O2" s="159"/>
    </row>
    <row r="3" spans="1:21" ht="28.8">
      <c r="A3" s="144" t="s">
        <v>105</v>
      </c>
      <c r="B3" s="145" t="s">
        <v>108</v>
      </c>
      <c r="C3" s="145"/>
      <c r="D3" s="144" t="s">
        <v>109</v>
      </c>
      <c r="E3" s="144" t="s">
        <v>110</v>
      </c>
      <c r="G3" s="157" t="s">
        <v>113</v>
      </c>
      <c r="H3" s="158"/>
      <c r="I3" s="126">
        <v>1.1499999999999999</v>
      </c>
      <c r="J3" s="39"/>
      <c r="K3" s="155" t="s">
        <v>1000</v>
      </c>
      <c r="L3" s="156"/>
      <c r="N3" s="114" t="s">
        <v>176</v>
      </c>
      <c r="O3" s="115" t="s">
        <v>177</v>
      </c>
    </row>
    <row r="4" spans="1:21" ht="14.4" customHeight="1">
      <c r="A4" s="144"/>
      <c r="B4" s="114" t="s">
        <v>106</v>
      </c>
      <c r="C4" s="114" t="s">
        <v>107</v>
      </c>
      <c r="D4" s="144"/>
      <c r="E4" s="144"/>
      <c r="G4" s="157" t="s">
        <v>114</v>
      </c>
      <c r="H4" s="158"/>
      <c r="I4" s="126">
        <v>1.1200000000000001</v>
      </c>
      <c r="J4" s="39"/>
      <c r="K4" s="155" t="s">
        <v>1001</v>
      </c>
      <c r="L4" s="156"/>
      <c r="N4" s="40">
        <v>500</v>
      </c>
      <c r="O4" s="40">
        <v>0.95</v>
      </c>
    </row>
    <row r="5" spans="1:21" ht="14.4" customHeight="1">
      <c r="A5" s="77">
        <v>38.536171945699998</v>
      </c>
      <c r="B5" s="77">
        <v>508</v>
      </c>
      <c r="C5" s="77">
        <v>510</v>
      </c>
      <c r="D5" s="77">
        <v>509</v>
      </c>
      <c r="E5" s="77">
        <v>22.406649052070552</v>
      </c>
      <c r="G5" s="157" t="s">
        <v>115</v>
      </c>
      <c r="H5" s="158"/>
      <c r="I5" s="127">
        <f>_xlfn.FORECAST.LINEAR(SUH!$Y$11,$O$4:$O$10,$N$4:$N$10)</f>
        <v>0.92743467488986786</v>
      </c>
      <c r="J5" s="39"/>
      <c r="K5" s="155" t="s">
        <v>1002</v>
      </c>
      <c r="L5" s="156"/>
      <c r="N5" s="40">
        <v>1000</v>
      </c>
      <c r="O5" s="40">
        <v>0.92</v>
      </c>
    </row>
    <row r="6" spans="1:21" ht="14.4" customHeight="1">
      <c r="A6" s="77">
        <v>355.49591118799998</v>
      </c>
      <c r="B6" s="77">
        <v>510</v>
      </c>
      <c r="C6" s="77">
        <v>520</v>
      </c>
      <c r="D6" s="77">
        <v>515</v>
      </c>
      <c r="E6" s="77">
        <v>209.13773372268315</v>
      </c>
      <c r="G6" s="157" t="s">
        <v>181</v>
      </c>
      <c r="H6" s="158"/>
      <c r="I6" s="128">
        <f>I2*I3*I5</f>
        <v>55.840403094951597</v>
      </c>
      <c r="J6" s="39" t="s">
        <v>103</v>
      </c>
      <c r="N6" s="40">
        <v>1500</v>
      </c>
      <c r="O6" s="40">
        <v>0.91</v>
      </c>
    </row>
    <row r="7" spans="1:21">
      <c r="A7" s="77">
        <v>274.42957764499999</v>
      </c>
      <c r="B7" s="77">
        <v>520</v>
      </c>
      <c r="C7" s="77">
        <v>530</v>
      </c>
      <c r="D7" s="77">
        <v>525</v>
      </c>
      <c r="E7" s="77">
        <v>164.58141019110005</v>
      </c>
      <c r="G7" s="157" t="s">
        <v>182</v>
      </c>
      <c r="H7" s="158"/>
      <c r="I7" s="128">
        <f>I6*I4</f>
        <v>62.541251466345791</v>
      </c>
      <c r="J7" s="39"/>
      <c r="N7" s="40">
        <v>2000</v>
      </c>
      <c r="O7" s="40">
        <v>0.89</v>
      </c>
    </row>
    <row r="8" spans="1:21">
      <c r="A8" s="77">
        <v>128.622084648</v>
      </c>
      <c r="B8" s="77">
        <v>530</v>
      </c>
      <c r="C8" s="77">
        <v>540</v>
      </c>
      <c r="D8" s="77">
        <v>535</v>
      </c>
      <c r="E8" s="77">
        <v>78.606757966410328</v>
      </c>
      <c r="G8" s="157" t="s">
        <v>190</v>
      </c>
      <c r="H8" s="158"/>
      <c r="I8" s="129">
        <f>'PMP 12hr Bell depth'!I3*0.1</f>
        <v>33.947643298231874</v>
      </c>
      <c r="J8" s="39" t="s">
        <v>103</v>
      </c>
      <c r="N8" s="40">
        <v>3000</v>
      </c>
      <c r="O8" s="40">
        <v>0.87</v>
      </c>
    </row>
    <row r="9" spans="1:21">
      <c r="A9" s="77">
        <v>72.396362675399999</v>
      </c>
      <c r="B9" s="77">
        <v>540</v>
      </c>
      <c r="C9" s="77">
        <v>550</v>
      </c>
      <c r="D9" s="77">
        <v>545</v>
      </c>
      <c r="E9" s="77">
        <v>45.071686392236352</v>
      </c>
      <c r="G9" s="157" t="s">
        <v>191</v>
      </c>
      <c r="H9" s="158"/>
      <c r="I9" s="129">
        <f>'PMP 12hr Bell depth'!J3*0.1</f>
        <v>12.555977658250146</v>
      </c>
      <c r="J9" s="39" t="s">
        <v>103</v>
      </c>
      <c r="N9" s="40">
        <v>4000</v>
      </c>
      <c r="O9" s="40">
        <v>0.85</v>
      </c>
    </row>
    <row r="10" spans="1:21">
      <c r="A10" s="77">
        <v>5.9257357069600003</v>
      </c>
      <c r="B10" s="77">
        <v>550</v>
      </c>
      <c r="C10" s="77">
        <v>560</v>
      </c>
      <c r="D10" s="77">
        <v>555</v>
      </c>
      <c r="E10" s="77">
        <v>3.756866989889704</v>
      </c>
      <c r="G10" s="157" t="s">
        <v>192</v>
      </c>
      <c r="H10" s="158"/>
      <c r="I10" s="129">
        <f>'PMP 12hr Bell depth'!K3*0.1</f>
        <v>11.707470272200558</v>
      </c>
      <c r="J10" s="39" t="s">
        <v>103</v>
      </c>
      <c r="N10" s="40">
        <v>5000</v>
      </c>
      <c r="O10" s="40">
        <v>0.83</v>
      </c>
    </row>
    <row r="11" spans="1:21">
      <c r="A11" s="90">
        <v>875.40584380906012</v>
      </c>
      <c r="B11" s="90"/>
      <c r="C11" s="90"/>
      <c r="D11" s="90"/>
      <c r="E11" s="90">
        <v>523.56110431439004</v>
      </c>
      <c r="G11" s="157" t="s">
        <v>193</v>
      </c>
      <c r="H11" s="158"/>
      <c r="I11" s="129">
        <f>'PMP 12hr Bell depth'!L3*0.1</f>
        <v>4.3301602376632209</v>
      </c>
      <c r="J11" s="39" t="s">
        <v>103</v>
      </c>
    </row>
    <row r="12" spans="1:21">
      <c r="G12" s="157" t="s">
        <v>119</v>
      </c>
      <c r="H12" s="158"/>
      <c r="I12" s="40" t="s">
        <v>120</v>
      </c>
      <c r="J12" s="39"/>
    </row>
    <row r="13" spans="1:21">
      <c r="A13" s="29"/>
      <c r="B13" s="29"/>
      <c r="C13" s="29"/>
      <c r="D13" s="29"/>
    </row>
    <row r="14" spans="1:21" ht="18">
      <c r="A14" s="29"/>
      <c r="B14" s="29"/>
      <c r="C14" s="29"/>
      <c r="D14" s="29"/>
      <c r="I14" s="161" t="s">
        <v>133</v>
      </c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</row>
    <row r="15" spans="1:21" ht="86.4" customHeight="1">
      <c r="A15" s="115" t="s">
        <v>118</v>
      </c>
      <c r="B15" s="115" t="s">
        <v>180</v>
      </c>
      <c r="C15" s="144" t="s">
        <v>179</v>
      </c>
      <c r="D15" s="144"/>
      <c r="I15" s="115" t="s">
        <v>134</v>
      </c>
      <c r="J15" s="115" t="s">
        <v>135</v>
      </c>
      <c r="K15" s="115" t="s">
        <v>136</v>
      </c>
      <c r="L15" s="115" t="s">
        <v>152</v>
      </c>
      <c r="M15" s="115" t="s">
        <v>153</v>
      </c>
      <c r="N15" s="115" t="s">
        <v>137</v>
      </c>
      <c r="O15" s="115" t="s">
        <v>138</v>
      </c>
      <c r="P15" s="115" t="s">
        <v>156</v>
      </c>
      <c r="Q15" s="115" t="s">
        <v>157</v>
      </c>
      <c r="R15" s="115" t="s">
        <v>139</v>
      </c>
      <c r="S15" s="115" t="s">
        <v>140</v>
      </c>
      <c r="T15" s="115" t="s">
        <v>160</v>
      </c>
      <c r="U15" s="115" t="s">
        <v>161</v>
      </c>
    </row>
    <row r="16" spans="1:21">
      <c r="A16" s="45">
        <v>1</v>
      </c>
      <c r="B16" s="45">
        <f>Sheet3!N4</f>
        <v>15.1</v>
      </c>
      <c r="C16" s="47">
        <f>B16/$B$27</f>
        <v>0.20684931506849313</v>
      </c>
      <c r="D16" s="40">
        <v>21</v>
      </c>
      <c r="I16" s="45">
        <v>1</v>
      </c>
      <c r="J16" s="45">
        <f t="shared" ref="J16:J27" si="0">D16</f>
        <v>21</v>
      </c>
      <c r="K16" s="45">
        <f t="shared" ref="K16:K27" si="1">D16</f>
        <v>21</v>
      </c>
      <c r="L16" s="40">
        <f>J16</f>
        <v>21</v>
      </c>
      <c r="M16" s="40">
        <f>L16</f>
        <v>21</v>
      </c>
      <c r="N16" s="45">
        <f>K16</f>
        <v>21</v>
      </c>
      <c r="O16" s="45">
        <f>N16</f>
        <v>21</v>
      </c>
      <c r="P16" s="40">
        <f>O16</f>
        <v>21</v>
      </c>
      <c r="Q16" s="40">
        <f>P16</f>
        <v>21</v>
      </c>
      <c r="R16" s="50">
        <f t="shared" ref="R16:R27" si="2">(N16*$I$8)/100</f>
        <v>7.1290050926286934</v>
      </c>
      <c r="S16" s="50">
        <f t="shared" ref="S16:S27" si="3">(O16*$I$9)/100</f>
        <v>2.636755308232531</v>
      </c>
      <c r="T16" s="50">
        <f>(P16*$I$10)/100</f>
        <v>2.4585687571621171</v>
      </c>
      <c r="U16" s="50">
        <f>(Q16*$I$11)/100</f>
        <v>0.90933364990927645</v>
      </c>
    </row>
    <row r="17" spans="1:21">
      <c r="A17" s="45">
        <v>2</v>
      </c>
      <c r="B17" s="45">
        <f>Sheet3!N5</f>
        <v>25.5</v>
      </c>
      <c r="C17" s="47">
        <f t="shared" ref="C17:C27" si="4">B17/$B$27</f>
        <v>0.34931506849315069</v>
      </c>
      <c r="D17" s="40">
        <v>35</v>
      </c>
      <c r="I17" s="45">
        <v>2</v>
      </c>
      <c r="J17" s="45">
        <f t="shared" si="0"/>
        <v>35</v>
      </c>
      <c r="K17" s="45">
        <f t="shared" si="1"/>
        <v>35</v>
      </c>
      <c r="L17" s="40">
        <f t="shared" ref="L17:L27" si="5">J17</f>
        <v>35</v>
      </c>
      <c r="M17" s="40">
        <f t="shared" ref="M17:M27" si="6">L17</f>
        <v>35</v>
      </c>
      <c r="N17" s="51">
        <f t="shared" ref="N17:N27" si="7">K17-K16</f>
        <v>14</v>
      </c>
      <c r="O17" s="51">
        <f t="shared" ref="O17:O27" si="8">K17-K16</f>
        <v>14</v>
      </c>
      <c r="P17" s="40">
        <f t="shared" ref="P17:Q27" si="9">O17</f>
        <v>14</v>
      </c>
      <c r="Q17" s="40">
        <f t="shared" si="9"/>
        <v>14</v>
      </c>
      <c r="R17" s="50">
        <f t="shared" si="2"/>
        <v>4.7526700617524629</v>
      </c>
      <c r="S17" s="50">
        <f t="shared" si="3"/>
        <v>1.7578368721550206</v>
      </c>
      <c r="T17" s="50">
        <f t="shared" ref="T17:T27" si="10">(P17*$I$10)/100</f>
        <v>1.6390458381080781</v>
      </c>
      <c r="U17" s="50">
        <f t="shared" ref="U17:U27" si="11">(Q17*$I$11)/100</f>
        <v>0.60622243327285086</v>
      </c>
    </row>
    <row r="18" spans="1:21">
      <c r="A18" s="45">
        <v>3</v>
      </c>
      <c r="B18" s="45">
        <f>Sheet3!N6</f>
        <v>31.6</v>
      </c>
      <c r="C18" s="47">
        <f t="shared" si="4"/>
        <v>0.43287671232876712</v>
      </c>
      <c r="D18" s="40">
        <v>43</v>
      </c>
      <c r="I18" s="45">
        <v>3</v>
      </c>
      <c r="J18" s="45">
        <f t="shared" si="0"/>
        <v>43</v>
      </c>
      <c r="K18" s="45">
        <f t="shared" si="1"/>
        <v>43</v>
      </c>
      <c r="L18" s="40">
        <f t="shared" si="5"/>
        <v>43</v>
      </c>
      <c r="M18" s="40">
        <f t="shared" si="6"/>
        <v>43</v>
      </c>
      <c r="N18" s="51">
        <f t="shared" si="7"/>
        <v>8</v>
      </c>
      <c r="O18" s="51">
        <f t="shared" si="8"/>
        <v>8</v>
      </c>
      <c r="P18" s="40">
        <f t="shared" si="9"/>
        <v>8</v>
      </c>
      <c r="Q18" s="40">
        <f t="shared" si="9"/>
        <v>8</v>
      </c>
      <c r="R18" s="50">
        <f t="shared" si="2"/>
        <v>2.7158114638585498</v>
      </c>
      <c r="S18" s="50">
        <f t="shared" si="3"/>
        <v>1.0044782126600118</v>
      </c>
      <c r="T18" s="50">
        <f t="shared" si="10"/>
        <v>0.93659762177604466</v>
      </c>
      <c r="U18" s="50">
        <f t="shared" si="11"/>
        <v>0.34641281901305765</v>
      </c>
    </row>
    <row r="19" spans="1:21">
      <c r="A19" s="45">
        <v>4</v>
      </c>
      <c r="B19" s="45">
        <f>Sheet3!N7</f>
        <v>36.9</v>
      </c>
      <c r="C19" s="47">
        <f t="shared" si="4"/>
        <v>0.5054794520547945</v>
      </c>
      <c r="D19" s="40">
        <v>51</v>
      </c>
      <c r="I19" s="45">
        <v>4</v>
      </c>
      <c r="J19" s="45">
        <f t="shared" si="0"/>
        <v>51</v>
      </c>
      <c r="K19" s="45">
        <f t="shared" si="1"/>
        <v>51</v>
      </c>
      <c r="L19" s="40">
        <f t="shared" si="5"/>
        <v>51</v>
      </c>
      <c r="M19" s="40">
        <f t="shared" si="6"/>
        <v>51</v>
      </c>
      <c r="N19" s="51">
        <f t="shared" si="7"/>
        <v>8</v>
      </c>
      <c r="O19" s="51">
        <f t="shared" si="8"/>
        <v>8</v>
      </c>
      <c r="P19" s="40">
        <f t="shared" si="9"/>
        <v>8</v>
      </c>
      <c r="Q19" s="40">
        <f t="shared" si="9"/>
        <v>8</v>
      </c>
      <c r="R19" s="50">
        <f t="shared" si="2"/>
        <v>2.7158114638585498</v>
      </c>
      <c r="S19" s="50">
        <f t="shared" si="3"/>
        <v>1.0044782126600118</v>
      </c>
      <c r="T19" s="50">
        <f t="shared" si="10"/>
        <v>0.93659762177604466</v>
      </c>
      <c r="U19" s="50">
        <f t="shared" si="11"/>
        <v>0.34641281901305765</v>
      </c>
    </row>
    <row r="20" spans="1:21">
      <c r="A20" s="45">
        <v>5</v>
      </c>
      <c r="B20" s="45">
        <f>Sheet3!N8</f>
        <v>42.2</v>
      </c>
      <c r="C20" s="47">
        <f t="shared" si="4"/>
        <v>0.57808219178082199</v>
      </c>
      <c r="D20" s="40">
        <v>58</v>
      </c>
      <c r="I20" s="45">
        <v>5</v>
      </c>
      <c r="J20" s="45">
        <f t="shared" si="0"/>
        <v>58</v>
      </c>
      <c r="K20" s="45">
        <f t="shared" si="1"/>
        <v>58</v>
      </c>
      <c r="L20" s="40">
        <f t="shared" si="5"/>
        <v>58</v>
      </c>
      <c r="M20" s="40">
        <f t="shared" si="6"/>
        <v>58</v>
      </c>
      <c r="N20" s="51">
        <f t="shared" si="7"/>
        <v>7</v>
      </c>
      <c r="O20" s="51">
        <f t="shared" si="8"/>
        <v>7</v>
      </c>
      <c r="P20" s="40">
        <f t="shared" si="9"/>
        <v>7</v>
      </c>
      <c r="Q20" s="40">
        <f t="shared" si="9"/>
        <v>7</v>
      </c>
      <c r="R20" s="50">
        <f t="shared" si="2"/>
        <v>2.3763350308762314</v>
      </c>
      <c r="S20" s="50">
        <f t="shared" si="3"/>
        <v>0.8789184360775103</v>
      </c>
      <c r="T20" s="50">
        <f t="shared" si="10"/>
        <v>0.81952291905403907</v>
      </c>
      <c r="U20" s="50">
        <f t="shared" si="11"/>
        <v>0.30311121663642543</v>
      </c>
    </row>
    <row r="21" spans="1:21">
      <c r="A21" s="45">
        <v>6</v>
      </c>
      <c r="B21" s="45">
        <f>Sheet3!N9</f>
        <v>47.1</v>
      </c>
      <c r="C21" s="47">
        <f t="shared" si="4"/>
        <v>0.64520547945205486</v>
      </c>
      <c r="D21" s="40">
        <v>65</v>
      </c>
      <c r="I21" s="45">
        <v>6</v>
      </c>
      <c r="J21" s="45">
        <f t="shared" si="0"/>
        <v>65</v>
      </c>
      <c r="K21" s="45">
        <f t="shared" si="1"/>
        <v>65</v>
      </c>
      <c r="L21" s="40">
        <f t="shared" si="5"/>
        <v>65</v>
      </c>
      <c r="M21" s="40">
        <f t="shared" si="6"/>
        <v>65</v>
      </c>
      <c r="N21" s="51">
        <f t="shared" si="7"/>
        <v>7</v>
      </c>
      <c r="O21" s="51">
        <f t="shared" si="8"/>
        <v>7</v>
      </c>
      <c r="P21" s="40">
        <f t="shared" si="9"/>
        <v>7</v>
      </c>
      <c r="Q21" s="40">
        <f t="shared" si="9"/>
        <v>7</v>
      </c>
      <c r="R21" s="50">
        <f t="shared" si="2"/>
        <v>2.3763350308762314</v>
      </c>
      <c r="S21" s="50">
        <f t="shared" si="3"/>
        <v>0.8789184360775103</v>
      </c>
      <c r="T21" s="50">
        <f t="shared" si="10"/>
        <v>0.81952291905403907</v>
      </c>
      <c r="U21" s="50">
        <f t="shared" si="11"/>
        <v>0.30311121663642543</v>
      </c>
    </row>
    <row r="22" spans="1:21">
      <c r="A22" s="45">
        <v>7</v>
      </c>
      <c r="B22" s="45">
        <f>Sheet3!N10</f>
        <v>51.8</v>
      </c>
      <c r="C22" s="47">
        <f t="shared" si="4"/>
        <v>0.70958904109589038</v>
      </c>
      <c r="D22" s="40">
        <v>71</v>
      </c>
      <c r="I22" s="45">
        <v>7</v>
      </c>
      <c r="J22" s="45">
        <f t="shared" si="0"/>
        <v>71</v>
      </c>
      <c r="K22" s="45">
        <f t="shared" si="1"/>
        <v>71</v>
      </c>
      <c r="L22" s="40">
        <f t="shared" si="5"/>
        <v>71</v>
      </c>
      <c r="M22" s="40">
        <f t="shared" si="6"/>
        <v>71</v>
      </c>
      <c r="N22" s="51">
        <f t="shared" si="7"/>
        <v>6</v>
      </c>
      <c r="O22" s="51">
        <f t="shared" si="8"/>
        <v>6</v>
      </c>
      <c r="P22" s="40">
        <f t="shared" si="9"/>
        <v>6</v>
      </c>
      <c r="Q22" s="40">
        <f t="shared" si="9"/>
        <v>6</v>
      </c>
      <c r="R22" s="50">
        <f t="shared" si="2"/>
        <v>2.0368585978939127</v>
      </c>
      <c r="S22" s="50">
        <f t="shared" si="3"/>
        <v>0.7533586594950088</v>
      </c>
      <c r="T22" s="50">
        <f t="shared" si="10"/>
        <v>0.70244821633203347</v>
      </c>
      <c r="U22" s="50">
        <f t="shared" si="11"/>
        <v>0.25980961425979321</v>
      </c>
    </row>
    <row r="23" spans="1:21">
      <c r="A23" s="45">
        <v>8</v>
      </c>
      <c r="B23" s="45">
        <f>Sheet3!N11</f>
        <v>56.4</v>
      </c>
      <c r="C23" s="47">
        <f t="shared" si="4"/>
        <v>0.77260273972602733</v>
      </c>
      <c r="D23" s="40">
        <v>77</v>
      </c>
      <c r="I23" s="45">
        <v>8</v>
      </c>
      <c r="J23" s="45">
        <f t="shared" si="0"/>
        <v>77</v>
      </c>
      <c r="K23" s="45">
        <f t="shared" si="1"/>
        <v>77</v>
      </c>
      <c r="L23" s="40">
        <f t="shared" si="5"/>
        <v>77</v>
      </c>
      <c r="M23" s="40">
        <f t="shared" si="6"/>
        <v>77</v>
      </c>
      <c r="N23" s="51">
        <f t="shared" si="7"/>
        <v>6</v>
      </c>
      <c r="O23" s="51">
        <f t="shared" si="8"/>
        <v>6</v>
      </c>
      <c r="P23" s="40">
        <f t="shared" si="9"/>
        <v>6</v>
      </c>
      <c r="Q23" s="40">
        <f t="shared" si="9"/>
        <v>6</v>
      </c>
      <c r="R23" s="50">
        <f t="shared" si="2"/>
        <v>2.0368585978939127</v>
      </c>
      <c r="S23" s="50">
        <f t="shared" si="3"/>
        <v>0.7533586594950088</v>
      </c>
      <c r="T23" s="50">
        <f t="shared" si="10"/>
        <v>0.70244821633203347</v>
      </c>
      <c r="U23" s="50">
        <f t="shared" si="11"/>
        <v>0.25980961425979321</v>
      </c>
    </row>
    <row r="24" spans="1:21">
      <c r="A24" s="45">
        <v>9</v>
      </c>
      <c r="B24" s="45">
        <f>Sheet3!N12</f>
        <v>60.8</v>
      </c>
      <c r="C24" s="47">
        <f t="shared" si="4"/>
        <v>0.83287671232876703</v>
      </c>
      <c r="D24" s="40">
        <v>83</v>
      </c>
      <c r="I24" s="45">
        <v>9</v>
      </c>
      <c r="J24" s="45">
        <f t="shared" si="0"/>
        <v>83</v>
      </c>
      <c r="K24" s="45">
        <f t="shared" si="1"/>
        <v>83</v>
      </c>
      <c r="L24" s="40">
        <f t="shared" si="5"/>
        <v>83</v>
      </c>
      <c r="M24" s="40">
        <f t="shared" si="6"/>
        <v>83</v>
      </c>
      <c r="N24" s="51">
        <f t="shared" si="7"/>
        <v>6</v>
      </c>
      <c r="O24" s="51">
        <f t="shared" si="8"/>
        <v>6</v>
      </c>
      <c r="P24" s="40">
        <f t="shared" si="9"/>
        <v>6</v>
      </c>
      <c r="Q24" s="40">
        <f t="shared" si="9"/>
        <v>6</v>
      </c>
      <c r="R24" s="50">
        <f t="shared" si="2"/>
        <v>2.0368585978939127</v>
      </c>
      <c r="S24" s="50">
        <f t="shared" si="3"/>
        <v>0.7533586594950088</v>
      </c>
      <c r="T24" s="50">
        <f t="shared" si="10"/>
        <v>0.70244821633203347</v>
      </c>
      <c r="U24" s="50">
        <f t="shared" si="11"/>
        <v>0.25980961425979321</v>
      </c>
    </row>
    <row r="25" spans="1:21">
      <c r="A25" s="45">
        <v>10</v>
      </c>
      <c r="B25" s="45">
        <f>Sheet3!N13</f>
        <v>65.2</v>
      </c>
      <c r="C25" s="47">
        <f t="shared" si="4"/>
        <v>0.89315068493150684</v>
      </c>
      <c r="D25" s="40">
        <v>89</v>
      </c>
      <c r="I25" s="45">
        <v>10</v>
      </c>
      <c r="J25" s="45">
        <f t="shared" si="0"/>
        <v>89</v>
      </c>
      <c r="K25" s="45">
        <f t="shared" si="1"/>
        <v>89</v>
      </c>
      <c r="L25" s="40">
        <f t="shared" si="5"/>
        <v>89</v>
      </c>
      <c r="M25" s="40">
        <f t="shared" si="6"/>
        <v>89</v>
      </c>
      <c r="N25" s="51">
        <f t="shared" si="7"/>
        <v>6</v>
      </c>
      <c r="O25" s="51">
        <f t="shared" si="8"/>
        <v>6</v>
      </c>
      <c r="P25" s="40">
        <f t="shared" si="9"/>
        <v>6</v>
      </c>
      <c r="Q25" s="40">
        <f t="shared" si="9"/>
        <v>6</v>
      </c>
      <c r="R25" s="50">
        <f t="shared" si="2"/>
        <v>2.0368585978939127</v>
      </c>
      <c r="S25" s="50">
        <f t="shared" si="3"/>
        <v>0.7533586594950088</v>
      </c>
      <c r="T25" s="50">
        <f t="shared" si="10"/>
        <v>0.70244821633203347</v>
      </c>
      <c r="U25" s="50">
        <f t="shared" si="11"/>
        <v>0.25980961425979321</v>
      </c>
    </row>
    <row r="26" spans="1:21">
      <c r="A26" s="45">
        <v>11</v>
      </c>
      <c r="B26" s="45">
        <f>Sheet3!N14</f>
        <v>69.3</v>
      </c>
      <c r="C26" s="47">
        <f t="shared" si="4"/>
        <v>0.94931506849315062</v>
      </c>
      <c r="D26" s="40">
        <v>95</v>
      </c>
      <c r="I26" s="45">
        <v>11</v>
      </c>
      <c r="J26" s="45">
        <f t="shared" si="0"/>
        <v>95</v>
      </c>
      <c r="K26" s="45">
        <f t="shared" si="1"/>
        <v>95</v>
      </c>
      <c r="L26" s="40">
        <f t="shared" si="5"/>
        <v>95</v>
      </c>
      <c r="M26" s="40">
        <f t="shared" si="6"/>
        <v>95</v>
      </c>
      <c r="N26" s="51">
        <f t="shared" si="7"/>
        <v>6</v>
      </c>
      <c r="O26" s="51">
        <f t="shared" si="8"/>
        <v>6</v>
      </c>
      <c r="P26" s="40">
        <f t="shared" si="9"/>
        <v>6</v>
      </c>
      <c r="Q26" s="40">
        <f t="shared" si="9"/>
        <v>6</v>
      </c>
      <c r="R26" s="50">
        <f t="shared" si="2"/>
        <v>2.0368585978939127</v>
      </c>
      <c r="S26" s="50">
        <f t="shared" si="3"/>
        <v>0.7533586594950088</v>
      </c>
      <c r="T26" s="50">
        <f t="shared" si="10"/>
        <v>0.70244821633203347</v>
      </c>
      <c r="U26" s="50">
        <f t="shared" si="11"/>
        <v>0.25980961425979321</v>
      </c>
    </row>
    <row r="27" spans="1:21">
      <c r="A27" s="45">
        <v>12</v>
      </c>
      <c r="B27" s="45">
        <f>Sheet3!N15</f>
        <v>73</v>
      </c>
      <c r="C27" s="47">
        <f t="shared" si="4"/>
        <v>1</v>
      </c>
      <c r="D27" s="40">
        <v>100</v>
      </c>
      <c r="I27" s="45">
        <v>12</v>
      </c>
      <c r="J27" s="45">
        <f t="shared" si="0"/>
        <v>100</v>
      </c>
      <c r="K27" s="45">
        <f t="shared" si="1"/>
        <v>100</v>
      </c>
      <c r="L27" s="40">
        <f t="shared" si="5"/>
        <v>100</v>
      </c>
      <c r="M27" s="40">
        <f t="shared" si="6"/>
        <v>100</v>
      </c>
      <c r="N27" s="51">
        <f t="shared" si="7"/>
        <v>5</v>
      </c>
      <c r="O27" s="51">
        <f t="shared" si="8"/>
        <v>5</v>
      </c>
      <c r="P27" s="40">
        <f t="shared" si="9"/>
        <v>5</v>
      </c>
      <c r="Q27" s="40">
        <f t="shared" si="9"/>
        <v>5</v>
      </c>
      <c r="R27" s="50">
        <f t="shared" si="2"/>
        <v>1.6973821649115937</v>
      </c>
      <c r="S27" s="50">
        <f t="shared" si="3"/>
        <v>0.62779888291250729</v>
      </c>
      <c r="T27" s="50">
        <f t="shared" si="10"/>
        <v>0.58537351361002787</v>
      </c>
      <c r="U27" s="50">
        <f t="shared" si="11"/>
        <v>0.21650801188316104</v>
      </c>
    </row>
    <row r="28" spans="1:21">
      <c r="A28" s="45">
        <v>13</v>
      </c>
      <c r="B28" s="45">
        <f>Sheet3!N16</f>
        <v>76.3</v>
      </c>
      <c r="C28" s="39"/>
      <c r="I28" s="45" t="s">
        <v>141</v>
      </c>
      <c r="J28" s="39"/>
      <c r="K28" s="45"/>
      <c r="L28" s="39"/>
      <c r="M28" s="39"/>
      <c r="N28" s="123">
        <f>SUM(N16:N27)</f>
        <v>100</v>
      </c>
      <c r="O28" s="123">
        <f>SUM(O16:O27)</f>
        <v>100</v>
      </c>
      <c r="P28" s="123">
        <f t="shared" ref="P28:Q28" si="12">SUM(P16:P27)</f>
        <v>100</v>
      </c>
      <c r="Q28" s="123">
        <f t="shared" si="12"/>
        <v>100</v>
      </c>
      <c r="R28" s="124">
        <f t="shared" ref="R28:U28" si="13">SUM(R16:R27)</f>
        <v>33.947643298231867</v>
      </c>
      <c r="S28" s="124">
        <f t="shared" si="13"/>
        <v>12.555977658250146</v>
      </c>
      <c r="T28" s="124">
        <f t="shared" si="13"/>
        <v>11.707470272200558</v>
      </c>
      <c r="U28" s="124">
        <f t="shared" si="13"/>
        <v>4.33016023766322</v>
      </c>
    </row>
    <row r="29" spans="1:21">
      <c r="A29" s="45">
        <v>14</v>
      </c>
      <c r="B29" s="45">
        <f>Sheet3!N17</f>
        <v>79.3</v>
      </c>
      <c r="C29" s="39"/>
    </row>
    <row r="30" spans="1:21">
      <c r="A30" s="45">
        <v>15</v>
      </c>
      <c r="B30" s="45">
        <f>Sheet3!N18</f>
        <v>81.900000000000006</v>
      </c>
      <c r="C30" s="39"/>
      <c r="G30" s="71" t="s">
        <v>142</v>
      </c>
      <c r="K30" s="17"/>
      <c r="L30" s="54"/>
      <c r="M30" s="17"/>
      <c r="N30" s="55"/>
    </row>
    <row r="31" spans="1:21">
      <c r="A31" s="45">
        <v>16</v>
      </c>
      <c r="B31" s="45">
        <f>Sheet3!N19</f>
        <v>84.4</v>
      </c>
      <c r="C31" s="39"/>
      <c r="G31" s="71" t="str">
        <f>"Excess rainfall arrangement with consideration of uniform loss at "&amp;SUH!$Y$14&amp; " cm/hr"</f>
        <v>Excess rainfall arrangement with consideration of uniform loss at 0.23 cm/hr</v>
      </c>
      <c r="K31" s="17"/>
      <c r="L31" s="54"/>
      <c r="M31" s="17"/>
      <c r="N31" s="55"/>
    </row>
    <row r="32" spans="1:21">
      <c r="A32" s="45">
        <v>17</v>
      </c>
      <c r="B32" s="45">
        <f>Sheet3!N20</f>
        <v>86.9</v>
      </c>
      <c r="C32" s="39"/>
      <c r="G32" s="17"/>
      <c r="I32" s="56"/>
      <c r="J32" s="54"/>
      <c r="K32" s="54"/>
      <c r="L32" s="54"/>
      <c r="M32" s="17"/>
      <c r="N32" s="55"/>
    </row>
    <row r="33" spans="1:21" ht="28.8" customHeight="1">
      <c r="A33" s="45">
        <v>18</v>
      </c>
      <c r="B33" s="45">
        <f>Sheet3!N21</f>
        <v>89.2</v>
      </c>
      <c r="C33" s="39"/>
      <c r="G33" s="116" t="s">
        <v>118</v>
      </c>
      <c r="H33" s="116" t="s">
        <v>143</v>
      </c>
      <c r="I33" s="152" t="s">
        <v>144</v>
      </c>
      <c r="J33" s="152"/>
      <c r="K33" s="152"/>
      <c r="L33" s="152"/>
      <c r="M33" s="117" t="s">
        <v>145</v>
      </c>
      <c r="N33" s="152" t="s">
        <v>146</v>
      </c>
      <c r="O33" s="152"/>
      <c r="P33" s="152"/>
      <c r="Q33" s="152"/>
      <c r="R33" s="152" t="s">
        <v>185</v>
      </c>
      <c r="S33" s="152"/>
      <c r="T33" s="152"/>
      <c r="U33" s="152"/>
    </row>
    <row r="34" spans="1:21">
      <c r="A34" s="45">
        <v>19</v>
      </c>
      <c r="B34" s="45">
        <f>Sheet3!N22</f>
        <v>91.5</v>
      </c>
      <c r="C34" s="39"/>
      <c r="G34" s="119"/>
      <c r="H34" s="118"/>
      <c r="I34" s="116" t="s">
        <v>148</v>
      </c>
      <c r="J34" s="116" t="s">
        <v>149</v>
      </c>
      <c r="K34" s="116" t="s">
        <v>183</v>
      </c>
      <c r="L34" s="116" t="s">
        <v>184</v>
      </c>
      <c r="M34" s="116">
        <f>SUH!$Y$14</f>
        <v>0.23</v>
      </c>
      <c r="N34" s="116" t="s">
        <v>148</v>
      </c>
      <c r="O34" s="116" t="s">
        <v>149</v>
      </c>
      <c r="P34" s="116" t="s">
        <v>183</v>
      </c>
      <c r="Q34" s="116" t="s">
        <v>184</v>
      </c>
      <c r="R34" s="116" t="s">
        <v>186</v>
      </c>
      <c r="S34" s="116" t="s">
        <v>187</v>
      </c>
      <c r="T34" s="116" t="s">
        <v>188</v>
      </c>
      <c r="U34" s="116" t="s">
        <v>189</v>
      </c>
    </row>
    <row r="35" spans="1:21">
      <c r="A35" s="45">
        <v>20</v>
      </c>
      <c r="B35" s="45">
        <f>Sheet3!N23</f>
        <v>93.7</v>
      </c>
      <c r="C35" s="39"/>
      <c r="G35" s="57">
        <v>1</v>
      </c>
      <c r="H35" s="58">
        <f ca="1">'24hr SPS'!H35</f>
        <v>102.5</v>
      </c>
      <c r="I35" s="50">
        <f ca="1">LARGE($R$16:$R$27,_xlfn.RANK.AVG(H35,$H$35:$H$46,0))</f>
        <v>2.0368585978939127</v>
      </c>
      <c r="J35" s="50">
        <f ca="1">LARGE($S$16:$S$27,_xlfn.RANK.AVG(H35,$H$35:$H$46,0))</f>
        <v>0.7533586594950088</v>
      </c>
      <c r="K35" s="50">
        <f ca="1">LARGE($T$16:$T$27,_xlfn.RANK.AVG(H35,$H$35:$H$46,0))</f>
        <v>0.70244821633203347</v>
      </c>
      <c r="L35" s="50">
        <f ca="1">LARGE($U$16:$U$27,_xlfn.RANK.AVG(H35,$H$35:$H$46,0))</f>
        <v>0.25980961425979321</v>
      </c>
      <c r="M35" s="50">
        <f>M34</f>
        <v>0.23</v>
      </c>
      <c r="N35" s="59">
        <f ca="1">IF((I35-M35)&lt;0,0,(I35-M35))</f>
        <v>1.8068585978939127</v>
      </c>
      <c r="O35" s="59">
        <f ca="1">IF((J35-M35)&lt;0,0,(J35-M35))</f>
        <v>0.52335865949500882</v>
      </c>
      <c r="P35" s="59">
        <f ca="1">IF((K35-M35)&lt;0,0,(K35-M35))</f>
        <v>0.47244821633203349</v>
      </c>
      <c r="Q35" s="59">
        <f ca="1">IF((L35-M35)&lt;0,0,(L35-M35))</f>
        <v>2.9809614259793199E-2</v>
      </c>
      <c r="R35" s="60" cm="1">
        <f t="array" aca="1" ref="R35" ca="1">INDEX($N$35:$N$46,ROWS($N$35:$N$46)-ROW()+ROW($N$35))</f>
        <v>1.4673821649115937</v>
      </c>
      <c r="S35" s="60" cm="1">
        <f t="array" aca="1" ref="S35" ca="1">INDEX($O$35:$O$46,ROWS($O$35:$O$46)-ROW()+ROW($O$35))</f>
        <v>0.39779888291250731</v>
      </c>
      <c r="T35" s="59" cm="1">
        <f t="array" aca="1" ref="T35" ca="1">INDEX($P$35:$P$46,ROWS($P$35:$P$46)-ROW()+ROW($P$35))</f>
        <v>0.35537351361002789</v>
      </c>
      <c r="U35" s="59" cm="1">
        <f t="array" aca="1" ref="U35" ca="1">INDEX($Q$35:$Q$46,ROWS($Q$35:$Q$46)-ROW()+ROW($Q$35))</f>
        <v>0</v>
      </c>
    </row>
    <row r="36" spans="1:21">
      <c r="A36" s="45">
        <v>21</v>
      </c>
      <c r="B36" s="45">
        <f>Sheet3!N24</f>
        <v>95.5</v>
      </c>
      <c r="C36" s="39"/>
      <c r="G36" s="57">
        <v>2</v>
      </c>
      <c r="H36" s="58">
        <f ca="1">'24hr SPS'!H36</f>
        <v>153.75</v>
      </c>
      <c r="I36" s="50">
        <f t="shared" ref="I36:I46" ca="1" si="14">LARGE($R$16:$R$27,_xlfn.RANK.AVG(H36,$H$35:$H$46,0))</f>
        <v>2.3763350308762314</v>
      </c>
      <c r="J36" s="50">
        <f t="shared" ref="J36:J46" ca="1" si="15">LARGE($S$16:$S$27,_xlfn.RANK.AVG(H36,$H$35:$H$46,0))</f>
        <v>0.8789184360775103</v>
      </c>
      <c r="K36" s="50">
        <f t="shared" ref="K36:K46" ca="1" si="16">LARGE($T$16:$T$27,_xlfn.RANK.AVG(H36,$H$35:$H$46,0))</f>
        <v>0.81952291905403907</v>
      </c>
      <c r="L36" s="50">
        <f t="shared" ref="L36:L46" ca="1" si="17">LARGE($U$16:$U$27,_xlfn.RANK.AVG(H36,$H$35:$H$46,0))</f>
        <v>0.30311121663642543</v>
      </c>
      <c r="M36" s="50">
        <f t="shared" ref="M36:M46" si="18">M35</f>
        <v>0.23</v>
      </c>
      <c r="N36" s="59">
        <f t="shared" ref="N36:N46" ca="1" si="19">IF((I36-M36)&lt;0,0,(I36-M36))</f>
        <v>2.1463350308762315</v>
      </c>
      <c r="O36" s="59">
        <f t="shared" ref="O36:O46" ca="1" si="20">IF((J36-M36)&lt;0,0,(J36-M36))</f>
        <v>0.64891843607751032</v>
      </c>
      <c r="P36" s="59">
        <f t="shared" ref="P36:P46" ca="1" si="21">IF((K36-M36)&lt;0,0,(K36-M36))</f>
        <v>0.58952291905403909</v>
      </c>
      <c r="Q36" s="59">
        <f t="shared" ref="Q36:Q46" ca="1" si="22">IF((L36-M36)&lt;0,0,(L36-M36))</f>
        <v>7.3111216636425419E-2</v>
      </c>
      <c r="R36" s="60" cm="1">
        <f t="array" aca="1" ref="R36" ca="1">INDEX($N$35:$N$46,ROWS($N$35:$N$46)-ROW()+ROW($N$35))</f>
        <v>1.8068585978939127</v>
      </c>
      <c r="S36" s="60" cm="1">
        <f t="array" aca="1" ref="S36" ca="1">INDEX($O$35:$O$46,ROWS($O$35:$O$46)-ROW()+ROW($O$35))</f>
        <v>0.52335865949500882</v>
      </c>
      <c r="T36" s="59" cm="1">
        <f t="array" aca="1" ref="T36" ca="1">INDEX($P$35:$P$46,ROWS($P$35:$P$46)-ROW()+ROW($P$35))</f>
        <v>0.47244821633203349</v>
      </c>
      <c r="U36" s="59" cm="1">
        <f t="array" aca="1" ref="U36" ca="1">INDEX($Q$35:$Q$46,ROWS($Q$35:$Q$46)-ROW()+ROW($Q$35))</f>
        <v>2.9809614259793199E-2</v>
      </c>
    </row>
    <row r="37" spans="1:21">
      <c r="A37" s="45">
        <v>22</v>
      </c>
      <c r="B37" s="45">
        <f>Sheet3!N25</f>
        <v>97.3</v>
      </c>
      <c r="C37" s="39"/>
      <c r="G37" s="57">
        <v>3</v>
      </c>
      <c r="H37" s="58">
        <f ca="1">'24hr SPS'!H37</f>
        <v>179.375</v>
      </c>
      <c r="I37" s="50">
        <f t="shared" ca="1" si="14"/>
        <v>2.7158114638585498</v>
      </c>
      <c r="J37" s="50">
        <f t="shared" ca="1" si="15"/>
        <v>1.0044782126600118</v>
      </c>
      <c r="K37" s="50">
        <f t="shared" ca="1" si="16"/>
        <v>0.93659762177604466</v>
      </c>
      <c r="L37" s="50">
        <f t="shared" ca="1" si="17"/>
        <v>0.34641281901305765</v>
      </c>
      <c r="M37" s="50">
        <f t="shared" si="18"/>
        <v>0.23</v>
      </c>
      <c r="N37" s="59">
        <f t="shared" ca="1" si="19"/>
        <v>2.4858114638585498</v>
      </c>
      <c r="O37" s="59">
        <f t="shared" ca="1" si="20"/>
        <v>0.77447821266001182</v>
      </c>
      <c r="P37" s="59">
        <f t="shared" ca="1" si="21"/>
        <v>0.70659762177604468</v>
      </c>
      <c r="Q37" s="59">
        <f t="shared" ca="1" si="22"/>
        <v>0.11641281901305764</v>
      </c>
      <c r="R37" s="60" cm="1">
        <f t="array" aca="1" ref="R37" ca="1">INDEX($N$35:$N$46,ROWS($N$35:$N$46)-ROW()+ROW($N$35))</f>
        <v>1.8068585978939127</v>
      </c>
      <c r="S37" s="60" cm="1">
        <f t="array" aca="1" ref="S37" ca="1">INDEX($O$35:$O$46,ROWS($O$35:$O$46)-ROW()+ROW($O$35))</f>
        <v>0.52335865949500882</v>
      </c>
      <c r="T37" s="59" cm="1">
        <f t="array" aca="1" ref="T37" ca="1">INDEX($P$35:$P$46,ROWS($P$35:$P$46)-ROW()+ROW($P$35))</f>
        <v>0.47244821633203349</v>
      </c>
      <c r="U37" s="59" cm="1">
        <f t="array" aca="1" ref="U37" ca="1">INDEX($Q$35:$Q$46,ROWS($Q$35:$Q$46)-ROW()+ROW($Q$35))</f>
        <v>2.9809614259793199E-2</v>
      </c>
    </row>
    <row r="38" spans="1:21">
      <c r="A38" s="45">
        <v>23</v>
      </c>
      <c r="B38" s="45">
        <f>Sheet3!N26</f>
        <v>98.9</v>
      </c>
      <c r="C38" s="39"/>
      <c r="G38" s="57">
        <v>4</v>
      </c>
      <c r="H38" s="58">
        <f ca="1">'24hr SPS'!H38</f>
        <v>205</v>
      </c>
      <c r="I38" s="50">
        <f t="shared" ca="1" si="14"/>
        <v>7.1290050926286934</v>
      </c>
      <c r="J38" s="50">
        <f t="shared" ca="1" si="15"/>
        <v>2.636755308232531</v>
      </c>
      <c r="K38" s="50">
        <f t="shared" ca="1" si="16"/>
        <v>2.4585687571621171</v>
      </c>
      <c r="L38" s="50">
        <f t="shared" ca="1" si="17"/>
        <v>0.90933364990927645</v>
      </c>
      <c r="M38" s="50">
        <f t="shared" si="18"/>
        <v>0.23</v>
      </c>
      <c r="N38" s="59">
        <f t="shared" ca="1" si="19"/>
        <v>6.899005092628693</v>
      </c>
      <c r="O38" s="59">
        <f t="shared" ca="1" si="20"/>
        <v>2.406755308232531</v>
      </c>
      <c r="P38" s="59">
        <f t="shared" ca="1" si="21"/>
        <v>2.2285687571621171</v>
      </c>
      <c r="Q38" s="59">
        <f t="shared" ca="1" si="22"/>
        <v>0.67933364990927647</v>
      </c>
      <c r="R38" s="60" cm="1">
        <f t="array" aca="1" ref="R38" ca="1">INDEX($N$35:$N$46,ROWS($N$35:$N$46)-ROW()+ROW($N$35))</f>
        <v>1.8068585978939127</v>
      </c>
      <c r="S38" s="60" cm="1">
        <f t="array" aca="1" ref="S38" ca="1">INDEX($O$35:$O$46,ROWS($O$35:$O$46)-ROW()+ROW($O$35))</f>
        <v>0.52335865949500882</v>
      </c>
      <c r="T38" s="59" cm="1">
        <f t="array" aca="1" ref="T38" ca="1">INDEX($P$35:$P$46,ROWS($P$35:$P$46)-ROW()+ROW($P$35))</f>
        <v>0.47244821633203349</v>
      </c>
      <c r="U38" s="59" cm="1">
        <f t="array" aca="1" ref="U38" ca="1">INDEX($Q$35:$Q$46,ROWS($Q$35:$Q$46)-ROW()+ROW($Q$35))</f>
        <v>2.9809614259793199E-2</v>
      </c>
    </row>
    <row r="39" spans="1:21">
      <c r="A39" s="45">
        <v>24</v>
      </c>
      <c r="B39" s="45">
        <f>Sheet3!N27</f>
        <v>100</v>
      </c>
      <c r="C39" s="39"/>
      <c r="G39" s="57">
        <v>5</v>
      </c>
      <c r="H39" s="58">
        <f ca="1">'24hr SPS'!H39</f>
        <v>187.91666666666669</v>
      </c>
      <c r="I39" s="50">
        <f t="shared" ca="1" si="14"/>
        <v>4.7526700617524629</v>
      </c>
      <c r="J39" s="50">
        <f t="shared" ca="1" si="15"/>
        <v>1.7578368721550206</v>
      </c>
      <c r="K39" s="50">
        <f t="shared" ca="1" si="16"/>
        <v>1.6390458381080781</v>
      </c>
      <c r="L39" s="50">
        <f t="shared" ca="1" si="17"/>
        <v>0.60622243327285086</v>
      </c>
      <c r="M39" s="50">
        <f t="shared" si="18"/>
        <v>0.23</v>
      </c>
      <c r="N39" s="59">
        <f t="shared" ca="1" si="19"/>
        <v>4.5226700617524624</v>
      </c>
      <c r="O39" s="59">
        <f t="shared" ca="1" si="20"/>
        <v>1.5278368721550206</v>
      </c>
      <c r="P39" s="59">
        <f t="shared" ca="1" si="21"/>
        <v>1.4090458381080782</v>
      </c>
      <c r="Q39" s="59">
        <f t="shared" ca="1" si="22"/>
        <v>0.37622243327285088</v>
      </c>
      <c r="R39" s="60" cm="1">
        <f t="array" aca="1" ref="R39" ca="1">INDEX($N$35:$N$46,ROWS($N$35:$N$46)-ROW()+ROW($N$35))</f>
        <v>1.8068585978939127</v>
      </c>
      <c r="S39" s="60" cm="1">
        <f t="array" aca="1" ref="S39" ca="1">INDEX($O$35:$O$46,ROWS($O$35:$O$46)-ROW()+ROW($O$35))</f>
        <v>0.52335865949500882</v>
      </c>
      <c r="T39" s="59" cm="1">
        <f t="array" aca="1" ref="T39" ca="1">INDEX($P$35:$P$46,ROWS($P$35:$P$46)-ROW()+ROW($P$35))</f>
        <v>0.47244821633203349</v>
      </c>
      <c r="U39" s="59" cm="1">
        <f t="array" aca="1" ref="U39" ca="1">INDEX($Q$35:$Q$46,ROWS($Q$35:$Q$46)-ROW()+ROW($Q$35))</f>
        <v>2.9809614259793199E-2</v>
      </c>
    </row>
    <row r="40" spans="1:21">
      <c r="G40" s="57">
        <v>6</v>
      </c>
      <c r="H40" s="58">
        <f ca="1">'24hr SPS'!H40</f>
        <v>170.83333333333334</v>
      </c>
      <c r="I40" s="50">
        <f t="shared" ca="1" si="14"/>
        <v>2.7158114638585498</v>
      </c>
      <c r="J40" s="50">
        <f t="shared" ca="1" si="15"/>
        <v>1.0044782126600118</v>
      </c>
      <c r="K40" s="50">
        <f t="shared" ca="1" si="16"/>
        <v>0.93659762177604466</v>
      </c>
      <c r="L40" s="50">
        <f t="shared" ca="1" si="17"/>
        <v>0.34641281901305765</v>
      </c>
      <c r="M40" s="50">
        <f t="shared" si="18"/>
        <v>0.23</v>
      </c>
      <c r="N40" s="59">
        <f t="shared" ca="1" si="19"/>
        <v>2.4858114638585498</v>
      </c>
      <c r="O40" s="59">
        <f t="shared" ca="1" si="20"/>
        <v>0.77447821266001182</v>
      </c>
      <c r="P40" s="59">
        <f t="shared" ca="1" si="21"/>
        <v>0.70659762177604468</v>
      </c>
      <c r="Q40" s="59">
        <f t="shared" ca="1" si="22"/>
        <v>0.11641281901305764</v>
      </c>
      <c r="R40" s="60" cm="1">
        <f t="array" aca="1" ref="R40" ca="1">INDEX($N$35:$N$46,ROWS($N$35:$N$46)-ROW()+ROW($N$35))</f>
        <v>2.1463350308762315</v>
      </c>
      <c r="S40" s="60" cm="1">
        <f t="array" aca="1" ref="S40" ca="1">INDEX($O$35:$O$46,ROWS($O$35:$O$46)-ROW()+ROW($O$35))</f>
        <v>0.64891843607751032</v>
      </c>
      <c r="T40" s="59" cm="1">
        <f t="array" aca="1" ref="T40" ca="1">INDEX($P$35:$P$46,ROWS($P$35:$P$46)-ROW()+ROW($P$35))</f>
        <v>0.58952291905403909</v>
      </c>
      <c r="U40" s="59" cm="1">
        <f t="array" aca="1" ref="U40" ca="1">INDEX($Q$35:$Q$46,ROWS($Q$35:$Q$46)-ROW()+ROW($Q$35))</f>
        <v>7.3111216636425419E-2</v>
      </c>
    </row>
    <row r="41" spans="1:21">
      <c r="G41" s="57">
        <v>7</v>
      </c>
      <c r="H41" s="58">
        <f ca="1">'24hr SPS'!H41</f>
        <v>153.75</v>
      </c>
      <c r="I41" s="50">
        <f t="shared" ca="1" si="14"/>
        <v>2.3763350308762314</v>
      </c>
      <c r="J41" s="50">
        <f t="shared" ca="1" si="15"/>
        <v>0.8789184360775103</v>
      </c>
      <c r="K41" s="50">
        <f t="shared" ca="1" si="16"/>
        <v>0.81952291905403907</v>
      </c>
      <c r="L41" s="50">
        <f t="shared" ca="1" si="17"/>
        <v>0.30311121663642543</v>
      </c>
      <c r="M41" s="50">
        <f t="shared" si="18"/>
        <v>0.23</v>
      </c>
      <c r="N41" s="59">
        <f t="shared" ca="1" si="19"/>
        <v>2.1463350308762315</v>
      </c>
      <c r="O41" s="59">
        <f t="shared" ca="1" si="20"/>
        <v>0.64891843607751032</v>
      </c>
      <c r="P41" s="59">
        <f t="shared" ca="1" si="21"/>
        <v>0.58952291905403909</v>
      </c>
      <c r="Q41" s="59">
        <f t="shared" ca="1" si="22"/>
        <v>7.3111216636425419E-2</v>
      </c>
      <c r="R41" s="60" cm="1">
        <f t="array" aca="1" ref="R41" ca="1">INDEX($N$35:$N$46,ROWS($N$35:$N$46)-ROW()+ROW($N$35))</f>
        <v>2.4858114638585498</v>
      </c>
      <c r="S41" s="60" cm="1">
        <f t="array" aca="1" ref="S41" ca="1">INDEX($O$35:$O$46,ROWS($O$35:$O$46)-ROW()+ROW($O$35))</f>
        <v>0.77447821266001182</v>
      </c>
      <c r="T41" s="59" cm="1">
        <f t="array" aca="1" ref="T41" ca="1">INDEX($P$35:$P$46,ROWS($P$35:$P$46)-ROW()+ROW($P$35))</f>
        <v>0.70659762177604468</v>
      </c>
      <c r="U41" s="59" cm="1">
        <f t="array" aca="1" ref="U41" ca="1">INDEX($Q$35:$Q$46,ROWS($Q$35:$Q$46)-ROW()+ROW($Q$35))</f>
        <v>0.11641281901305764</v>
      </c>
    </row>
    <row r="42" spans="1:21">
      <c r="G42" s="57">
        <v>8</v>
      </c>
      <c r="H42" s="58">
        <f ca="1">'24hr SPS'!H42</f>
        <v>136.66666666666669</v>
      </c>
      <c r="I42" s="50">
        <f t="shared" ca="1" si="14"/>
        <v>2.0368585978939127</v>
      </c>
      <c r="J42" s="50">
        <f t="shared" ca="1" si="15"/>
        <v>0.7533586594950088</v>
      </c>
      <c r="K42" s="50">
        <f t="shared" ca="1" si="16"/>
        <v>0.70244821633203347</v>
      </c>
      <c r="L42" s="50">
        <f t="shared" ca="1" si="17"/>
        <v>0.25980961425979321</v>
      </c>
      <c r="M42" s="50">
        <f t="shared" si="18"/>
        <v>0.23</v>
      </c>
      <c r="N42" s="59">
        <f t="shared" ca="1" si="19"/>
        <v>1.8068585978939127</v>
      </c>
      <c r="O42" s="59">
        <f t="shared" ca="1" si="20"/>
        <v>0.52335865949500882</v>
      </c>
      <c r="P42" s="59">
        <f t="shared" ca="1" si="21"/>
        <v>0.47244821633203349</v>
      </c>
      <c r="Q42" s="59">
        <f t="shared" ca="1" si="22"/>
        <v>2.9809614259793199E-2</v>
      </c>
      <c r="R42" s="60" cm="1">
        <f t="array" aca="1" ref="R42" ca="1">INDEX($N$35:$N$46,ROWS($N$35:$N$46)-ROW()+ROW($N$35))</f>
        <v>4.5226700617524624</v>
      </c>
      <c r="S42" s="60" cm="1">
        <f t="array" aca="1" ref="S42" ca="1">INDEX($O$35:$O$46,ROWS($O$35:$O$46)-ROW()+ROW($O$35))</f>
        <v>1.5278368721550206</v>
      </c>
      <c r="T42" s="59" cm="1">
        <f t="array" aca="1" ref="T42" ca="1">INDEX($P$35:$P$46,ROWS($P$35:$P$46)-ROW()+ROW($P$35))</f>
        <v>1.4090458381080782</v>
      </c>
      <c r="U42" s="59" cm="1">
        <f t="array" aca="1" ref="U42" ca="1">INDEX($Q$35:$Q$46,ROWS($Q$35:$Q$46)-ROW()+ROW($Q$35))</f>
        <v>0.37622243327285088</v>
      </c>
    </row>
    <row r="43" spans="1:21">
      <c r="G43" s="57">
        <v>9</v>
      </c>
      <c r="H43" s="58">
        <f ca="1">'24hr SPS'!H43</f>
        <v>119.58333333333334</v>
      </c>
      <c r="I43" s="50">
        <f t="shared" ca="1" si="14"/>
        <v>2.0368585978939127</v>
      </c>
      <c r="J43" s="50">
        <f t="shared" ca="1" si="15"/>
        <v>0.7533586594950088</v>
      </c>
      <c r="K43" s="50">
        <f t="shared" ca="1" si="16"/>
        <v>0.70244821633203347</v>
      </c>
      <c r="L43" s="50">
        <f t="shared" ca="1" si="17"/>
        <v>0.25980961425979321</v>
      </c>
      <c r="M43" s="50">
        <f t="shared" si="18"/>
        <v>0.23</v>
      </c>
      <c r="N43" s="59">
        <f t="shared" ca="1" si="19"/>
        <v>1.8068585978939127</v>
      </c>
      <c r="O43" s="59">
        <f t="shared" ca="1" si="20"/>
        <v>0.52335865949500882</v>
      </c>
      <c r="P43" s="59">
        <f t="shared" ca="1" si="21"/>
        <v>0.47244821633203349</v>
      </c>
      <c r="Q43" s="59">
        <f t="shared" ca="1" si="22"/>
        <v>2.9809614259793199E-2</v>
      </c>
      <c r="R43" s="60" cm="1">
        <f t="array" aca="1" ref="R43" ca="1">INDEX($N$35:$N$46,ROWS($N$35:$N$46)-ROW()+ROW($N$35))</f>
        <v>6.899005092628693</v>
      </c>
      <c r="S43" s="60" cm="1">
        <f t="array" aca="1" ref="S43" ca="1">INDEX($O$35:$O$46,ROWS($O$35:$O$46)-ROW()+ROW($O$35))</f>
        <v>2.406755308232531</v>
      </c>
      <c r="T43" s="59" cm="1">
        <f t="array" aca="1" ref="T43" ca="1">INDEX($P$35:$P$46,ROWS($P$35:$P$46)-ROW()+ROW($P$35))</f>
        <v>2.2285687571621171</v>
      </c>
      <c r="U43" s="59" cm="1">
        <f t="array" aca="1" ref="U43" ca="1">INDEX($Q$35:$Q$46,ROWS($Q$35:$Q$46)-ROW()+ROW($Q$35))</f>
        <v>0.67933364990927647</v>
      </c>
    </row>
    <row r="44" spans="1:21">
      <c r="G44" s="57">
        <v>10</v>
      </c>
      <c r="H44" s="58">
        <f ca="1">'24hr SPS'!H44</f>
        <v>102.50000000000001</v>
      </c>
      <c r="I44" s="50">
        <f t="shared" ca="1" si="14"/>
        <v>2.0368585978939127</v>
      </c>
      <c r="J44" s="50">
        <f t="shared" ca="1" si="15"/>
        <v>0.7533586594950088</v>
      </c>
      <c r="K44" s="50">
        <f t="shared" ca="1" si="16"/>
        <v>0.70244821633203347</v>
      </c>
      <c r="L44" s="50">
        <f t="shared" ca="1" si="17"/>
        <v>0.25980961425979321</v>
      </c>
      <c r="M44" s="50">
        <f t="shared" si="18"/>
        <v>0.23</v>
      </c>
      <c r="N44" s="59">
        <f t="shared" ca="1" si="19"/>
        <v>1.8068585978939127</v>
      </c>
      <c r="O44" s="59">
        <f t="shared" ca="1" si="20"/>
        <v>0.52335865949500882</v>
      </c>
      <c r="P44" s="59">
        <f t="shared" ca="1" si="21"/>
        <v>0.47244821633203349</v>
      </c>
      <c r="Q44" s="59">
        <f t="shared" ca="1" si="22"/>
        <v>2.9809614259793199E-2</v>
      </c>
      <c r="R44" s="60" cm="1">
        <f t="array" aca="1" ref="R44" ca="1">INDEX($N$35:$N$46,ROWS($N$35:$N$46)-ROW()+ROW($N$35))</f>
        <v>2.4858114638585498</v>
      </c>
      <c r="S44" s="60" cm="1">
        <f t="array" aca="1" ref="S44" ca="1">INDEX($O$35:$O$46,ROWS($O$35:$O$46)-ROW()+ROW($O$35))</f>
        <v>0.77447821266001182</v>
      </c>
      <c r="T44" s="59" cm="1">
        <f t="array" aca="1" ref="T44" ca="1">INDEX($P$35:$P$46,ROWS($P$35:$P$46)-ROW()+ROW($P$35))</f>
        <v>0.70659762177604468</v>
      </c>
      <c r="U44" s="59" cm="1">
        <f t="array" aca="1" ref="U44" ca="1">INDEX($Q$35:$Q$46,ROWS($Q$35:$Q$46)-ROW()+ROW($Q$35))</f>
        <v>0.11641281901305764</v>
      </c>
    </row>
    <row r="45" spans="1:21">
      <c r="G45" s="57">
        <v>11</v>
      </c>
      <c r="H45" s="58">
        <f ca="1">'24hr SPS'!H45</f>
        <v>96.805555555555571</v>
      </c>
      <c r="I45" s="50">
        <f t="shared" ca="1" si="14"/>
        <v>2.0368585978939127</v>
      </c>
      <c r="J45" s="50">
        <f t="shared" ca="1" si="15"/>
        <v>0.7533586594950088</v>
      </c>
      <c r="K45" s="50">
        <f t="shared" ca="1" si="16"/>
        <v>0.70244821633203347</v>
      </c>
      <c r="L45" s="50">
        <f t="shared" ca="1" si="17"/>
        <v>0.25980961425979321</v>
      </c>
      <c r="M45" s="50">
        <f t="shared" si="18"/>
        <v>0.23</v>
      </c>
      <c r="N45" s="59">
        <f t="shared" ca="1" si="19"/>
        <v>1.8068585978939127</v>
      </c>
      <c r="O45" s="59">
        <f t="shared" ca="1" si="20"/>
        <v>0.52335865949500882</v>
      </c>
      <c r="P45" s="59">
        <f t="shared" ca="1" si="21"/>
        <v>0.47244821633203349</v>
      </c>
      <c r="Q45" s="59">
        <f t="shared" ca="1" si="22"/>
        <v>2.9809614259793199E-2</v>
      </c>
      <c r="R45" s="60" cm="1">
        <f t="array" aca="1" ref="R45" ca="1">INDEX($N$35:$N$46,ROWS($N$35:$N$46)-ROW()+ROW($N$35))</f>
        <v>2.1463350308762315</v>
      </c>
      <c r="S45" s="60" cm="1">
        <f t="array" aca="1" ref="S45" ca="1">INDEX($O$35:$O$46,ROWS($O$35:$O$46)-ROW()+ROW($O$35))</f>
        <v>0.64891843607751032</v>
      </c>
      <c r="T45" s="59" cm="1">
        <f t="array" aca="1" ref="T45" ca="1">INDEX($P$35:$P$46,ROWS($P$35:$P$46)-ROW()+ROW($P$35))</f>
        <v>0.58952291905403909</v>
      </c>
      <c r="U45" s="59" cm="1">
        <f t="array" aca="1" ref="U45" ca="1">INDEX($Q$35:$Q$46,ROWS($Q$35:$Q$46)-ROW()+ROW($Q$35))</f>
        <v>7.3111216636425419E-2</v>
      </c>
    </row>
    <row r="46" spans="1:21">
      <c r="G46" s="57">
        <v>12</v>
      </c>
      <c r="H46" s="58">
        <f ca="1">'24hr SPS'!H46</f>
        <v>91.111111111111128</v>
      </c>
      <c r="I46" s="50">
        <f t="shared" ca="1" si="14"/>
        <v>1.6973821649115937</v>
      </c>
      <c r="J46" s="50">
        <f t="shared" ca="1" si="15"/>
        <v>0.62779888291250729</v>
      </c>
      <c r="K46" s="50">
        <f t="shared" ca="1" si="16"/>
        <v>0.58537351361002787</v>
      </c>
      <c r="L46" s="50">
        <f t="shared" ca="1" si="17"/>
        <v>0.21650801188316104</v>
      </c>
      <c r="M46" s="50">
        <f t="shared" si="18"/>
        <v>0.23</v>
      </c>
      <c r="N46" s="59">
        <f t="shared" ca="1" si="19"/>
        <v>1.4673821649115937</v>
      </c>
      <c r="O46" s="59">
        <f t="shared" ca="1" si="20"/>
        <v>0.39779888291250731</v>
      </c>
      <c r="P46" s="59">
        <f t="shared" ca="1" si="21"/>
        <v>0.35537351361002789</v>
      </c>
      <c r="Q46" s="59">
        <f t="shared" ca="1" si="22"/>
        <v>0</v>
      </c>
      <c r="R46" s="60" cm="1">
        <f t="array" aca="1" ref="R46" ca="1">INDEX($N$35:$N$46,ROWS($N$35:$N$46)-ROW()+ROW($N$35))</f>
        <v>1.8068585978939127</v>
      </c>
      <c r="S46" s="60" cm="1">
        <f t="array" aca="1" ref="S46" ca="1">INDEX($O$35:$O$46,ROWS($O$35:$O$46)-ROW()+ROW($O$35))</f>
        <v>0.52335865949500882</v>
      </c>
      <c r="T46" s="59" cm="1">
        <f t="array" aca="1" ref="T46" ca="1">INDEX($P$35:$P$46,ROWS($P$35:$P$46)-ROW()+ROW($P$35))</f>
        <v>0.47244821633203349</v>
      </c>
      <c r="U46" s="59" cm="1">
        <f t="array" aca="1" ref="U46" ca="1">INDEX($Q$35:$Q$46,ROWS($Q$35:$Q$46)-ROW()+ROW($Q$35))</f>
        <v>2.9809614259793199E-2</v>
      </c>
    </row>
    <row r="47" spans="1:21">
      <c r="G47" s="61" t="s">
        <v>141</v>
      </c>
      <c r="H47" s="61"/>
      <c r="I47" s="61">
        <f ca="1">SUM(I35:I46)</f>
        <v>33.947643298231874</v>
      </c>
      <c r="J47" s="61">
        <f ca="1">SUM(J35:J46)</f>
        <v>12.555977658250146</v>
      </c>
      <c r="K47" s="61">
        <f t="shared" ref="K47:L47" ca="1" si="23">SUM(K35:K46)</f>
        <v>11.707470272200558</v>
      </c>
      <c r="L47" s="61">
        <f t="shared" ca="1" si="23"/>
        <v>4.33016023766322</v>
      </c>
      <c r="M47" s="61"/>
      <c r="N47" s="61">
        <f ca="1">SUM(N35:N46)</f>
        <v>31.18764329823188</v>
      </c>
      <c r="O47" s="61">
        <f ca="1">SUM(O35:O46)</f>
        <v>9.7959776582501483</v>
      </c>
      <c r="P47" s="61">
        <f t="shared" ref="P47:Q47" ca="1" si="24">SUM(P35:P46)</f>
        <v>8.9474702722005564</v>
      </c>
      <c r="Q47" s="61">
        <f t="shared" ca="1" si="24"/>
        <v>1.5836522257800594</v>
      </c>
      <c r="R47" s="61">
        <f ca="1">SUM(R35:R46)</f>
        <v>31.187643298231873</v>
      </c>
      <c r="S47" s="61">
        <f ca="1">SUM(S35:S46)</f>
        <v>9.7959776582501483</v>
      </c>
      <c r="T47" s="61">
        <f t="shared" ref="T47:U47" ca="1" si="25">SUM(T35:T46)</f>
        <v>8.9474702722005581</v>
      </c>
      <c r="U47" s="61">
        <f t="shared" ca="1" si="25"/>
        <v>1.5836522257800594</v>
      </c>
    </row>
    <row r="49" spans="1:58">
      <c r="G49" t="s">
        <v>247</v>
      </c>
      <c r="P49" s="76"/>
    </row>
    <row r="50" spans="1:58" ht="28.8" customHeight="1">
      <c r="G50" s="160" t="s">
        <v>978</v>
      </c>
      <c r="H50" s="160"/>
    </row>
    <row r="51" spans="1:58">
      <c r="G51" t="s">
        <v>979</v>
      </c>
    </row>
    <row r="52" spans="1:58" ht="28.8">
      <c r="A52" s="80" t="s">
        <v>134</v>
      </c>
      <c r="B52" s="80" t="s">
        <v>171</v>
      </c>
      <c r="C52" s="78">
        <v>0</v>
      </c>
      <c r="D52" s="78">
        <v>2.9809614259793199E-2</v>
      </c>
      <c r="E52" s="78">
        <v>2.9809614259793199E-2</v>
      </c>
      <c r="F52" s="78">
        <v>2.9809614259793199E-2</v>
      </c>
      <c r="G52" s="78">
        <v>2.9809614259793199E-2</v>
      </c>
      <c r="H52" s="78">
        <v>7.3111216636425419E-2</v>
      </c>
      <c r="I52" s="78">
        <v>0.11641281901305764</v>
      </c>
      <c r="J52" s="78">
        <v>0.37622243327285088</v>
      </c>
      <c r="K52" s="78">
        <v>0.67933364990927647</v>
      </c>
      <c r="L52" s="78">
        <v>0.11641281901305764</v>
      </c>
      <c r="M52" s="78">
        <v>7.3111216636425419E-2</v>
      </c>
      <c r="N52" s="78">
        <v>2.9809614259793199E-2</v>
      </c>
      <c r="O52" s="79">
        <v>0.39779888291250731</v>
      </c>
      <c r="P52" s="79">
        <v>0.52335865949500882</v>
      </c>
      <c r="Q52" s="79">
        <v>0.52335865949500882</v>
      </c>
      <c r="R52" s="79">
        <v>0.52335865949500882</v>
      </c>
      <c r="S52" s="79">
        <v>0.52335865949500882</v>
      </c>
      <c r="T52" s="79">
        <v>0.64891843607751032</v>
      </c>
      <c r="U52" s="79">
        <v>0.77447821266001182</v>
      </c>
      <c r="V52" s="79">
        <v>1.5278368721550206</v>
      </c>
      <c r="W52" s="79">
        <v>2.406755308232531</v>
      </c>
      <c r="X52" s="79">
        <v>0.77447821266001182</v>
      </c>
      <c r="Y52" s="79">
        <v>0.64891843607751032</v>
      </c>
      <c r="Z52" s="79">
        <v>0.52335865949500882</v>
      </c>
      <c r="AA52" s="78">
        <v>1.4673821649115937</v>
      </c>
      <c r="AB52" s="78">
        <v>1.8068585978939127</v>
      </c>
      <c r="AC52" s="78">
        <v>1.8068585978939127</v>
      </c>
      <c r="AD52" s="78">
        <v>1.8068585978939127</v>
      </c>
      <c r="AE52" s="78">
        <v>1.8068585978939127</v>
      </c>
      <c r="AF52" s="78">
        <v>2.1463350308762315</v>
      </c>
      <c r="AG52" s="78">
        <v>2.4858114638585498</v>
      </c>
      <c r="AH52" s="78">
        <v>4.5226700617524624</v>
      </c>
      <c r="AI52" s="78">
        <v>6.899005092628693</v>
      </c>
      <c r="AJ52" s="78">
        <v>2.4858114638585498</v>
      </c>
      <c r="AK52" s="78">
        <v>2.1463350308762315</v>
      </c>
      <c r="AL52" s="78">
        <v>1.8068585978939127</v>
      </c>
      <c r="AM52" s="79">
        <v>0.35537351361002789</v>
      </c>
      <c r="AN52" s="79">
        <v>0.47244821633203349</v>
      </c>
      <c r="AO52" s="79">
        <v>0.47244821633203349</v>
      </c>
      <c r="AP52" s="79">
        <v>0.47244821633203349</v>
      </c>
      <c r="AQ52" s="79">
        <v>0.47244821633203349</v>
      </c>
      <c r="AR52" s="79">
        <v>0.58952291905403909</v>
      </c>
      <c r="AS52" s="79">
        <v>0.70659762177604468</v>
      </c>
      <c r="AT52" s="79">
        <v>1.4090458381080782</v>
      </c>
      <c r="AU52" s="79">
        <v>2.2285687571621171</v>
      </c>
      <c r="AV52" s="79">
        <v>0.70659762177604468</v>
      </c>
      <c r="AW52" s="79">
        <v>0.58952291905403909</v>
      </c>
      <c r="AX52" s="79">
        <v>0.47244821633203349</v>
      </c>
      <c r="AY52" s="80"/>
      <c r="AZ52" s="80" t="s">
        <v>168</v>
      </c>
      <c r="BA52" s="80" t="s">
        <v>217</v>
      </c>
      <c r="BC52" s="95" t="s">
        <v>219</v>
      </c>
      <c r="BD52" s="95" t="s">
        <v>220</v>
      </c>
      <c r="BE52" s="95" t="s">
        <v>221</v>
      </c>
      <c r="BF52" s="95" t="s">
        <v>222</v>
      </c>
    </row>
    <row r="53" spans="1:58">
      <c r="A53" s="57">
        <f>'24hr SPS'!A53</f>
        <v>0</v>
      </c>
      <c r="B53" s="57">
        <f ca="1">'24hr SPS'!B53</f>
        <v>0</v>
      </c>
      <c r="C53" s="77">
        <v>0</v>
      </c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  <c r="AW53" s="77"/>
      <c r="AX53" s="77"/>
      <c r="AY53">
        <v>0</v>
      </c>
      <c r="AZ53" s="60">
        <f>SUH!$Y$11*SUH!$Y$15</f>
        <v>15.757379999999998</v>
      </c>
      <c r="BA53" s="57">
        <f>AY53+AZ53</f>
        <v>15.757379999999998</v>
      </c>
      <c r="BB53" s="89"/>
      <c r="BC53">
        <v>1</v>
      </c>
      <c r="BD53" t="s">
        <v>223</v>
      </c>
      <c r="BE53" s="29">
        <v>5060.1390952000193</v>
      </c>
      <c r="BF53" t="s">
        <v>974</v>
      </c>
    </row>
    <row r="54" spans="1:58">
      <c r="A54" s="57">
        <f>'24hr SPS'!A54</f>
        <v>1</v>
      </c>
      <c r="B54" s="57">
        <f ca="1">'24hr SPS'!B54</f>
        <v>17.083333333333332</v>
      </c>
      <c r="C54" s="77">
        <v>0</v>
      </c>
      <c r="D54" s="77">
        <v>0</v>
      </c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>
        <v>0</v>
      </c>
      <c r="AZ54" s="60">
        <f>SUH!$Y$11*SUH!$Y$15</f>
        <v>15.757379999999998</v>
      </c>
      <c r="BA54" s="57">
        <f t="shared" ref="BA54:BA117" si="26">AY54+AZ54</f>
        <v>15.757379999999998</v>
      </c>
      <c r="BB54" s="89"/>
      <c r="BC54" s="95">
        <v>2</v>
      </c>
      <c r="BD54" s="95" t="s">
        <v>224</v>
      </c>
      <c r="BE54" s="96">
        <v>5060.1390952000193</v>
      </c>
      <c r="BF54" s="95" t="s">
        <v>974</v>
      </c>
    </row>
    <row r="55" spans="1:58">
      <c r="A55" s="57">
        <f>'24hr SPS'!A55</f>
        <v>2</v>
      </c>
      <c r="B55" s="57">
        <f ca="1">'24hr SPS'!B55</f>
        <v>34.166666666666664</v>
      </c>
      <c r="C55" s="77">
        <v>0</v>
      </c>
      <c r="D55" s="77">
        <v>0.50924757693813383</v>
      </c>
      <c r="E55" s="77">
        <v>0</v>
      </c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>
        <v>0.50924757693813383</v>
      </c>
      <c r="AZ55" s="60">
        <f>SUH!$Y$11*SUH!$Y$15</f>
        <v>15.757379999999998</v>
      </c>
      <c r="BA55" s="57">
        <f t="shared" si="26"/>
        <v>16.266627576938131</v>
      </c>
      <c r="BB55" s="89"/>
      <c r="BC55">
        <v>3</v>
      </c>
      <c r="BD55" t="s">
        <v>225</v>
      </c>
      <c r="BE55" s="29">
        <v>5047.818060865091</v>
      </c>
      <c r="BF55" t="s">
        <v>974</v>
      </c>
    </row>
    <row r="56" spans="1:58">
      <c r="A56" s="57">
        <f>'24hr SPS'!A56</f>
        <v>3</v>
      </c>
      <c r="B56" s="57">
        <f ca="1">'24hr SPS'!B56</f>
        <v>51.25</v>
      </c>
      <c r="C56" s="77">
        <v>0</v>
      </c>
      <c r="D56" s="77">
        <v>1.0184951538762677</v>
      </c>
      <c r="E56" s="77">
        <v>0.50924757693813383</v>
      </c>
      <c r="F56" s="77">
        <v>0</v>
      </c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>
        <v>1.5277427308144014</v>
      </c>
      <c r="AZ56" s="60">
        <f>SUH!$Y$11*SUH!$Y$15</f>
        <v>15.757379999999998</v>
      </c>
      <c r="BA56" s="57">
        <f t="shared" si="26"/>
        <v>17.2851227308144</v>
      </c>
      <c r="BB56" s="89"/>
      <c r="BC56">
        <v>4</v>
      </c>
      <c r="BD56" t="s">
        <v>226</v>
      </c>
      <c r="BE56" s="29">
        <v>5047.818060865091</v>
      </c>
      <c r="BF56" t="s">
        <v>974</v>
      </c>
    </row>
    <row r="57" spans="1:58">
      <c r="A57" s="57">
        <f>'24hr SPS'!A57</f>
        <v>4</v>
      </c>
      <c r="B57" s="57">
        <f ca="1">'24hr SPS'!B57</f>
        <v>68.333333333333329</v>
      </c>
      <c r="C57" s="77">
        <v>0</v>
      </c>
      <c r="D57" s="77">
        <v>1.5277427308144014</v>
      </c>
      <c r="E57" s="77">
        <v>1.0184951538762677</v>
      </c>
      <c r="F57" s="77">
        <v>0.50924757693813383</v>
      </c>
      <c r="G57" s="77">
        <v>0</v>
      </c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>
        <v>3.0554854616288027</v>
      </c>
      <c r="AZ57" s="60">
        <f>SUH!$Y$11*SUH!$Y$15</f>
        <v>15.757379999999998</v>
      </c>
      <c r="BA57" s="57">
        <f t="shared" si="26"/>
        <v>18.8128654616288</v>
      </c>
      <c r="BB57" s="89"/>
      <c r="BC57">
        <v>5</v>
      </c>
      <c r="BD57" t="s">
        <v>227</v>
      </c>
      <c r="BE57" s="29">
        <v>4941.845812056893</v>
      </c>
      <c r="BF57" t="s">
        <v>974</v>
      </c>
    </row>
    <row r="58" spans="1:58">
      <c r="A58" s="57">
        <f>'24hr SPS'!A58</f>
        <v>5</v>
      </c>
      <c r="B58" s="57">
        <f ca="1">'24hr SPS'!B58</f>
        <v>85.416666666666657</v>
      </c>
      <c r="C58" s="77">
        <v>0</v>
      </c>
      <c r="D58" s="77">
        <v>2.0369903077525353</v>
      </c>
      <c r="E58" s="77">
        <v>1.5277427308144014</v>
      </c>
      <c r="F58" s="77">
        <v>1.0184951538762677</v>
      </c>
      <c r="G58" s="77">
        <v>0.50924757693813383</v>
      </c>
      <c r="H58" s="77">
        <v>0</v>
      </c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>
        <v>5.0924757693813385</v>
      </c>
      <c r="AZ58" s="60">
        <f>SUH!$Y$11*SUH!$Y$15</f>
        <v>15.757379999999998</v>
      </c>
      <c r="BA58" s="57">
        <f t="shared" si="26"/>
        <v>20.849855769381335</v>
      </c>
      <c r="BB58" s="89"/>
      <c r="BC58">
        <v>6</v>
      </c>
      <c r="BD58" t="s">
        <v>228</v>
      </c>
      <c r="BE58" s="29">
        <v>4941.845812056893</v>
      </c>
      <c r="BF58" t="s">
        <v>974</v>
      </c>
    </row>
    <row r="59" spans="1:58">
      <c r="A59" s="57">
        <f>'24hr SPS'!A59</f>
        <v>6</v>
      </c>
      <c r="B59" s="57">
        <f ca="1">'24hr SPS'!B59</f>
        <v>102.5</v>
      </c>
      <c r="C59" s="77">
        <v>0</v>
      </c>
      <c r="D59" s="77">
        <v>2.5462378846906688</v>
      </c>
      <c r="E59" s="77">
        <v>2.0369903077525353</v>
      </c>
      <c r="F59" s="77">
        <v>1.5277427308144014</v>
      </c>
      <c r="G59" s="77">
        <v>1.0184951538762677</v>
      </c>
      <c r="H59" s="77">
        <v>1.2489832842056008</v>
      </c>
      <c r="I59" s="77">
        <v>0</v>
      </c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>
        <v>8.3784493613394737</v>
      </c>
      <c r="AZ59" s="60">
        <f>SUH!$Y$11*SUH!$Y$15</f>
        <v>15.757379999999998</v>
      </c>
      <c r="BA59" s="57">
        <f t="shared" si="26"/>
        <v>24.135829361339471</v>
      </c>
      <c r="BB59" s="89"/>
      <c r="BC59">
        <v>7</v>
      </c>
      <c r="BD59" t="s">
        <v>229</v>
      </c>
      <c r="BE59" s="29">
        <v>5625.6577836651704</v>
      </c>
      <c r="BF59" t="s">
        <v>975</v>
      </c>
    </row>
    <row r="60" spans="1:58">
      <c r="A60" s="57">
        <f>'24hr SPS'!A60</f>
        <v>7</v>
      </c>
      <c r="B60" s="57">
        <f ca="1">'24hr SPS'!B60</f>
        <v>153.75</v>
      </c>
      <c r="C60" s="77">
        <v>0</v>
      </c>
      <c r="D60" s="77">
        <v>3.0554854616288027</v>
      </c>
      <c r="E60" s="77">
        <v>2.5462378846906688</v>
      </c>
      <c r="F60" s="77">
        <v>2.0369903077525353</v>
      </c>
      <c r="G60" s="77">
        <v>1.5277427308144014</v>
      </c>
      <c r="H60" s="77">
        <v>2.4979665684112016</v>
      </c>
      <c r="I60" s="77">
        <v>1.9887189914730679</v>
      </c>
      <c r="J60" s="77">
        <v>0</v>
      </c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>
        <v>13.653141944770677</v>
      </c>
      <c r="AZ60" s="60">
        <f>SUH!$Y$11*SUH!$Y$15</f>
        <v>15.757379999999998</v>
      </c>
      <c r="BA60" s="57">
        <f t="shared" si="26"/>
        <v>29.410521944770675</v>
      </c>
      <c r="BB60" s="89"/>
      <c r="BC60">
        <v>8</v>
      </c>
      <c r="BD60" t="s">
        <v>230</v>
      </c>
      <c r="BE60" s="29">
        <v>5519.6855348569725</v>
      </c>
      <c r="BF60" t="s">
        <v>975</v>
      </c>
    </row>
    <row r="61" spans="1:58">
      <c r="A61" s="57">
        <f>'24hr SPS'!A61</f>
        <v>8</v>
      </c>
      <c r="B61" s="57">
        <f ca="1">'24hr SPS'!B61</f>
        <v>179.375</v>
      </c>
      <c r="C61" s="77">
        <v>0</v>
      </c>
      <c r="D61" s="77">
        <v>4.5832281924432046</v>
      </c>
      <c r="E61" s="77">
        <v>3.0554854616288027</v>
      </c>
      <c r="F61" s="77">
        <v>2.5462378846906688</v>
      </c>
      <c r="G61" s="77">
        <v>2.0369903077525353</v>
      </c>
      <c r="H61" s="77">
        <v>3.7469498526168028</v>
      </c>
      <c r="I61" s="77">
        <v>3.9774379829461357</v>
      </c>
      <c r="J61" s="77">
        <v>6.4271332350778687</v>
      </c>
      <c r="K61" s="77">
        <v>0</v>
      </c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>
        <v>26.373462917156019</v>
      </c>
      <c r="AZ61" s="60">
        <f>SUH!$Y$11*SUH!$Y$15</f>
        <v>15.757379999999998</v>
      </c>
      <c r="BA61" s="57">
        <f t="shared" si="26"/>
        <v>42.130842917156016</v>
      </c>
      <c r="BB61" s="89"/>
      <c r="BC61">
        <v>9</v>
      </c>
      <c r="BD61" t="s">
        <v>231</v>
      </c>
      <c r="BE61" s="29">
        <v>5491.2877444172782</v>
      </c>
      <c r="BF61" t="s">
        <v>976</v>
      </c>
    </row>
    <row r="62" spans="1:58">
      <c r="A62" s="57">
        <f>'24hr SPS'!A62</f>
        <v>9</v>
      </c>
      <c r="B62" s="57">
        <f ca="1">'24hr SPS'!B62</f>
        <v>205</v>
      </c>
      <c r="C62" s="77">
        <v>0</v>
      </c>
      <c r="D62" s="77">
        <v>5.347099557850405</v>
      </c>
      <c r="E62" s="77">
        <v>4.5832281924432046</v>
      </c>
      <c r="F62" s="77">
        <v>3.0554854616288027</v>
      </c>
      <c r="G62" s="77">
        <v>2.5462378846906688</v>
      </c>
      <c r="H62" s="77">
        <v>4.9959331368224031</v>
      </c>
      <c r="I62" s="77">
        <v>5.9661569744192038</v>
      </c>
      <c r="J62" s="77">
        <v>12.854266470155737</v>
      </c>
      <c r="K62" s="77">
        <v>11.605283185950139</v>
      </c>
      <c r="L62" s="77">
        <v>0</v>
      </c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>
        <v>50.95369086396056</v>
      </c>
      <c r="AZ62" s="60">
        <f>SUH!$Y$11*SUH!$Y$15</f>
        <v>15.757379999999998</v>
      </c>
      <c r="BA62" s="57">
        <f t="shared" si="26"/>
        <v>66.711070863960558</v>
      </c>
      <c r="BB62" s="89"/>
      <c r="BC62">
        <v>10</v>
      </c>
      <c r="BD62" t="s">
        <v>232</v>
      </c>
      <c r="BE62" s="29">
        <v>5057.331407511635</v>
      </c>
      <c r="BF62" t="s">
        <v>977</v>
      </c>
    </row>
    <row r="63" spans="1:58">
      <c r="A63" s="57">
        <f>'24hr SPS'!A63</f>
        <v>10</v>
      </c>
      <c r="B63" s="57">
        <f ca="1">'24hr SPS'!B63</f>
        <v>187.91666666666669</v>
      </c>
      <c r="C63" s="77">
        <v>0</v>
      </c>
      <c r="D63" s="77">
        <v>6.1109709232576055</v>
      </c>
      <c r="E63" s="77">
        <v>5.347099557850405</v>
      </c>
      <c r="F63" s="77">
        <v>4.5832281924432046</v>
      </c>
      <c r="G63" s="77">
        <v>3.0554854616288027</v>
      </c>
      <c r="H63" s="77">
        <v>6.2449164210280035</v>
      </c>
      <c r="I63" s="77">
        <v>7.9548759658922714</v>
      </c>
      <c r="J63" s="77">
        <v>19.281399705233607</v>
      </c>
      <c r="K63" s="77">
        <v>23.210566371900278</v>
      </c>
      <c r="L63" s="77">
        <v>1.9887189914730679</v>
      </c>
      <c r="M63" s="77">
        <v>0</v>
      </c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>
        <v>77.777261590707241</v>
      </c>
      <c r="AZ63" s="60">
        <f>SUH!$Y$11*SUH!$Y$15</f>
        <v>15.757379999999998</v>
      </c>
      <c r="BA63" s="57">
        <f t="shared" si="26"/>
        <v>93.534641590707238</v>
      </c>
      <c r="BB63" s="89"/>
      <c r="BC63">
        <v>11</v>
      </c>
      <c r="BD63" t="s">
        <v>233</v>
      </c>
      <c r="BE63" s="29">
        <v>5467.458684523227</v>
      </c>
      <c r="BF63" t="s">
        <v>977</v>
      </c>
    </row>
    <row r="64" spans="1:58">
      <c r="A64" s="57">
        <f>'24hr SPS'!A64</f>
        <v>11</v>
      </c>
      <c r="B64" s="57">
        <f ca="1">'24hr SPS'!B64</f>
        <v>170.83333333333334</v>
      </c>
      <c r="C64" s="77">
        <v>0</v>
      </c>
      <c r="D64" s="77">
        <v>5.6017233463194724</v>
      </c>
      <c r="E64" s="77">
        <v>6.1109709232576055</v>
      </c>
      <c r="F64" s="77">
        <v>5.347099557850405</v>
      </c>
      <c r="G64" s="77">
        <v>4.5832281924432046</v>
      </c>
      <c r="H64" s="77">
        <v>7.4938997052336056</v>
      </c>
      <c r="I64" s="77">
        <v>9.9435949573653382</v>
      </c>
      <c r="J64" s="77">
        <v>25.708532940311475</v>
      </c>
      <c r="K64" s="77">
        <v>34.81584955785042</v>
      </c>
      <c r="L64" s="77">
        <v>3.9774379829461357</v>
      </c>
      <c r="M64" s="77">
        <v>1.2489832842056008</v>
      </c>
      <c r="N64" s="77">
        <v>0</v>
      </c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>
        <v>104.83132044778327</v>
      </c>
      <c r="AZ64" s="60">
        <f>SUH!$Y$11*SUH!$Y$15</f>
        <v>15.757379999999998</v>
      </c>
      <c r="BA64" s="57">
        <f t="shared" si="26"/>
        <v>120.58870044778327</v>
      </c>
      <c r="BB64" s="89"/>
      <c r="BC64">
        <v>12</v>
      </c>
      <c r="BD64" t="s">
        <v>234</v>
      </c>
      <c r="BE64" s="29">
        <v>5170.328843357438</v>
      </c>
      <c r="BF64" t="s">
        <v>976</v>
      </c>
    </row>
    <row r="65" spans="1:58">
      <c r="A65" s="57">
        <f>'24hr SPS'!A65</f>
        <v>12</v>
      </c>
      <c r="B65" s="57">
        <f ca="1">'24hr SPS'!B65</f>
        <v>153.75</v>
      </c>
      <c r="C65" s="77">
        <v>0</v>
      </c>
      <c r="D65" s="77">
        <v>5.0924757693813385</v>
      </c>
      <c r="E65" s="77">
        <v>5.6017233463194724</v>
      </c>
      <c r="F65" s="77">
        <v>6.1109709232576055</v>
      </c>
      <c r="G65" s="77">
        <v>5.347099557850405</v>
      </c>
      <c r="H65" s="77">
        <v>11.240849557850408</v>
      </c>
      <c r="I65" s="77">
        <v>11.932313948838408</v>
      </c>
      <c r="J65" s="77">
        <v>32.135666175389339</v>
      </c>
      <c r="K65" s="77">
        <v>46.421132743800555</v>
      </c>
      <c r="L65" s="77">
        <v>5.9661569744192038</v>
      </c>
      <c r="M65" s="77">
        <v>2.4979665684112016</v>
      </c>
      <c r="N65" s="77">
        <v>0.50924757693813383</v>
      </c>
      <c r="O65" s="77">
        <v>0</v>
      </c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>
        <v>132.85560314245606</v>
      </c>
      <c r="AZ65" s="60">
        <f>SUH!$Y$11*SUH!$Y$15</f>
        <v>15.757379999999998</v>
      </c>
      <c r="BA65" s="57">
        <f t="shared" si="26"/>
        <v>148.61298314245607</v>
      </c>
      <c r="BB65" s="89"/>
      <c r="BC65">
        <v>13</v>
      </c>
      <c r="BD65" t="s">
        <v>235</v>
      </c>
      <c r="BE65" s="29">
        <v>5538.4942171436514</v>
      </c>
      <c r="BF65" t="s">
        <v>976</v>
      </c>
    </row>
    <row r="66" spans="1:58">
      <c r="A66" s="57">
        <f>'24hr SPS'!A66</f>
        <v>13</v>
      </c>
      <c r="B66" s="57">
        <f ca="1">'24hr SPS'!B66</f>
        <v>136.66666666666669</v>
      </c>
      <c r="C66" s="77">
        <v>0</v>
      </c>
      <c r="D66" s="77">
        <v>4.5832281924432046</v>
      </c>
      <c r="E66" s="77">
        <v>5.0924757693813385</v>
      </c>
      <c r="F66" s="77">
        <v>5.6017233463194724</v>
      </c>
      <c r="G66" s="77">
        <v>6.1109709232576055</v>
      </c>
      <c r="H66" s="77">
        <v>13.114324484158809</v>
      </c>
      <c r="I66" s="77">
        <v>17.898470923257612</v>
      </c>
      <c r="J66" s="77">
        <v>38.562799410467214</v>
      </c>
      <c r="K66" s="77">
        <v>58.026415929750691</v>
      </c>
      <c r="L66" s="77">
        <v>7.9548759658922714</v>
      </c>
      <c r="M66" s="77">
        <v>3.7469498526168028</v>
      </c>
      <c r="N66" s="77">
        <v>1.0184951538762677</v>
      </c>
      <c r="O66" s="77">
        <v>6.7957309164219994</v>
      </c>
      <c r="P66" s="77">
        <v>0</v>
      </c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>
        <v>168.50646086784332</v>
      </c>
      <c r="AZ66" s="60">
        <f>SUH!$Y$11*SUH!$Y$15</f>
        <v>15.757379999999998</v>
      </c>
      <c r="BA66" s="57">
        <f t="shared" si="26"/>
        <v>184.26384086784333</v>
      </c>
      <c r="BB66" s="89"/>
      <c r="BC66">
        <v>14</v>
      </c>
      <c r="BD66" t="s">
        <v>236</v>
      </c>
      <c r="BE66" s="29">
        <v>5059.264118779859</v>
      </c>
      <c r="BF66" t="s">
        <v>977</v>
      </c>
    </row>
    <row r="67" spans="1:58">
      <c r="A67" s="57">
        <f>'24hr SPS'!A67</f>
        <v>14</v>
      </c>
      <c r="B67" s="57">
        <f ca="1">'24hr SPS'!B67</f>
        <v>119.58333333333334</v>
      </c>
      <c r="C67" s="77">
        <v>0</v>
      </c>
      <c r="D67" s="77">
        <v>4.0739806155050715</v>
      </c>
      <c r="E67" s="77">
        <v>4.5832281924432046</v>
      </c>
      <c r="F67" s="77">
        <v>5.0924757693813385</v>
      </c>
      <c r="G67" s="77">
        <v>5.6017233463194724</v>
      </c>
      <c r="H67" s="77">
        <v>14.987799410467211</v>
      </c>
      <c r="I67" s="77">
        <v>20.881549410467215</v>
      </c>
      <c r="J67" s="77">
        <v>57.844199115700825</v>
      </c>
      <c r="K67" s="77">
        <v>69.63169911570084</v>
      </c>
      <c r="L67" s="77">
        <v>9.9435949573653382</v>
      </c>
      <c r="M67" s="77">
        <v>4.9959331368224031</v>
      </c>
      <c r="N67" s="77">
        <v>1.5277427308144014</v>
      </c>
      <c r="O67" s="77">
        <v>13.591461832843999</v>
      </c>
      <c r="P67" s="77">
        <v>8.9407104330397331</v>
      </c>
      <c r="Q67" s="77">
        <v>0</v>
      </c>
      <c r="R67" s="77"/>
      <c r="S67" s="77"/>
      <c r="T67" s="77"/>
      <c r="U67" s="77"/>
      <c r="V67" s="77"/>
      <c r="W67" s="77"/>
      <c r="X67" s="77"/>
      <c r="Y67" s="77"/>
      <c r="Z67" s="77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>
        <v>221.69609806687103</v>
      </c>
      <c r="AZ67" s="60">
        <f>SUH!$Y$11*SUH!$Y$15</f>
        <v>15.757379999999998</v>
      </c>
      <c r="BA67" s="57">
        <f t="shared" si="26"/>
        <v>237.45347806687101</v>
      </c>
      <c r="BB67" s="89"/>
      <c r="BC67">
        <v>15</v>
      </c>
      <c r="BD67" t="s">
        <v>237</v>
      </c>
      <c r="BE67" s="29">
        <v>5588.8396340055015</v>
      </c>
      <c r="BF67" t="s">
        <v>975</v>
      </c>
    </row>
    <row r="68" spans="1:58">
      <c r="A68" s="57">
        <f>'24hr SPS'!A68</f>
        <v>15</v>
      </c>
      <c r="B68" s="57">
        <f ca="1">'24hr SPS'!B68</f>
        <v>102.50000000000001</v>
      </c>
      <c r="C68" s="77">
        <v>0</v>
      </c>
      <c r="D68" s="77">
        <v>3.5647330385669371</v>
      </c>
      <c r="E68" s="77">
        <v>4.0739806155050715</v>
      </c>
      <c r="F68" s="77">
        <v>4.5832281924432046</v>
      </c>
      <c r="G68" s="77">
        <v>5.0924757693813385</v>
      </c>
      <c r="H68" s="77">
        <v>13.738816126261611</v>
      </c>
      <c r="I68" s="77">
        <v>23.864627897676815</v>
      </c>
      <c r="J68" s="77">
        <v>67.484898968317623</v>
      </c>
      <c r="K68" s="77">
        <v>104.44754867355125</v>
      </c>
      <c r="L68" s="77">
        <v>11.932313948838408</v>
      </c>
      <c r="M68" s="77">
        <v>6.2449164210280035</v>
      </c>
      <c r="N68" s="77">
        <v>2.0369903077525353</v>
      </c>
      <c r="O68" s="77">
        <v>20.387192749265999</v>
      </c>
      <c r="P68" s="77">
        <v>17.881420866079466</v>
      </c>
      <c r="Q68" s="77">
        <v>8.9407104330397331</v>
      </c>
      <c r="R68" s="77">
        <v>0</v>
      </c>
      <c r="S68" s="77"/>
      <c r="T68" s="77"/>
      <c r="U68" s="77"/>
      <c r="V68" s="77"/>
      <c r="W68" s="77"/>
      <c r="X68" s="77"/>
      <c r="Y68" s="77"/>
      <c r="Z68" s="77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>
        <v>294.273854007708</v>
      </c>
      <c r="AZ68" s="60">
        <f>SUH!$Y$11*SUH!$Y$15</f>
        <v>15.757379999999998</v>
      </c>
      <c r="BA68" s="57">
        <f t="shared" si="26"/>
        <v>310.03123400770801</v>
      </c>
      <c r="BB68" s="89"/>
      <c r="BC68">
        <v>16</v>
      </c>
      <c r="BD68" t="s">
        <v>238</v>
      </c>
      <c r="BE68" s="29">
        <v>5470.5463508623752</v>
      </c>
      <c r="BF68" t="s">
        <v>975</v>
      </c>
    </row>
    <row r="69" spans="1:58">
      <c r="A69" s="57">
        <f>'24hr SPS'!A69</f>
        <v>16</v>
      </c>
      <c r="B69" s="57">
        <f ca="1">'24hr SPS'!B69</f>
        <v>96.805555555555571</v>
      </c>
      <c r="C69" s="77">
        <v>0</v>
      </c>
      <c r="D69" s="77">
        <v>3.0554854616288032</v>
      </c>
      <c r="E69" s="77">
        <v>3.5647330385669371</v>
      </c>
      <c r="F69" s="77">
        <v>4.0739806155050715</v>
      </c>
      <c r="G69" s="77">
        <v>4.5832281924432046</v>
      </c>
      <c r="H69" s="77">
        <v>12.489832842056011</v>
      </c>
      <c r="I69" s="77">
        <v>21.875908906203751</v>
      </c>
      <c r="J69" s="77">
        <v>77.125598820934428</v>
      </c>
      <c r="K69" s="77">
        <v>121.85547345247647</v>
      </c>
      <c r="L69" s="77">
        <v>17.898470923257612</v>
      </c>
      <c r="M69" s="77">
        <v>7.4938997052336056</v>
      </c>
      <c r="N69" s="77">
        <v>2.5462378846906688</v>
      </c>
      <c r="O69" s="77">
        <v>27.182923665687998</v>
      </c>
      <c r="P69" s="77">
        <v>26.822131299119203</v>
      </c>
      <c r="Q69" s="77">
        <v>17.881420866079466</v>
      </c>
      <c r="R69" s="77">
        <v>8.9407104330397331</v>
      </c>
      <c r="S69" s="77">
        <v>0</v>
      </c>
      <c r="T69" s="77"/>
      <c r="U69" s="77"/>
      <c r="V69" s="77"/>
      <c r="W69" s="77"/>
      <c r="X69" s="77"/>
      <c r="Y69" s="77"/>
      <c r="Z69" s="77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>
        <v>357.39003610692293</v>
      </c>
      <c r="AZ69" s="60">
        <f>SUH!$Y$11*SUH!$Y$15</f>
        <v>15.757379999999998</v>
      </c>
      <c r="BA69" s="57">
        <f t="shared" si="26"/>
        <v>373.14741610692295</v>
      </c>
      <c r="BB69" s="89"/>
      <c r="BC69">
        <v>17</v>
      </c>
      <c r="BD69" t="s">
        <v>239</v>
      </c>
      <c r="BE69" s="29">
        <v>5180.7171664241423</v>
      </c>
      <c r="BF69" t="s">
        <v>976</v>
      </c>
    </row>
    <row r="70" spans="1:58">
      <c r="A70" s="57">
        <f>'24hr SPS'!A70</f>
        <v>17</v>
      </c>
      <c r="B70" s="57">
        <f ca="1">'24hr SPS'!B70</f>
        <v>91.111111111111128</v>
      </c>
      <c r="C70" s="77">
        <v>0</v>
      </c>
      <c r="D70" s="77">
        <v>2.8857362693160922</v>
      </c>
      <c r="E70" s="50">
        <v>3.0554854616288032</v>
      </c>
      <c r="F70" s="50">
        <v>3.5647330385669371</v>
      </c>
      <c r="G70" s="50">
        <v>4.0739806155050715</v>
      </c>
      <c r="H70" s="50">
        <v>11.240849557850408</v>
      </c>
      <c r="I70" s="50">
        <v>19.88718991473068</v>
      </c>
      <c r="J70" s="50">
        <v>70.698465585856567</v>
      </c>
      <c r="K70" s="50">
        <v>139.26339823140168</v>
      </c>
      <c r="L70" s="50">
        <v>20.881549410467215</v>
      </c>
      <c r="M70" s="50">
        <v>11.240849557850408</v>
      </c>
      <c r="N70" s="50">
        <v>3.0554854616288027</v>
      </c>
      <c r="O70" s="50">
        <v>33.978654582109996</v>
      </c>
      <c r="P70" s="50">
        <v>35.762841732158932</v>
      </c>
      <c r="Q70" s="50">
        <v>26.822131299119203</v>
      </c>
      <c r="R70" s="50">
        <v>17.881420866079466</v>
      </c>
      <c r="S70" s="50">
        <v>8.9407104330397331</v>
      </c>
      <c r="T70" s="50">
        <v>0</v>
      </c>
      <c r="U70" s="50"/>
      <c r="V70" s="50"/>
      <c r="W70" s="50"/>
      <c r="X70" s="50"/>
      <c r="Y70" s="50"/>
      <c r="Z70" s="50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>
        <v>413.23348201730994</v>
      </c>
      <c r="AZ70" s="60">
        <f>SUH!$Y$11*SUH!$Y$15</f>
        <v>15.757379999999998</v>
      </c>
      <c r="BA70" s="57">
        <f t="shared" si="26"/>
        <v>428.99086201730995</v>
      </c>
      <c r="BB70" s="89"/>
      <c r="BC70">
        <v>18</v>
      </c>
      <c r="BD70" t="s">
        <v>240</v>
      </c>
      <c r="BE70" s="29">
        <v>5516.5978685178243</v>
      </c>
      <c r="BF70" t="s">
        <v>977</v>
      </c>
    </row>
    <row r="71" spans="1:58">
      <c r="A71" s="57">
        <f>'24hr SPS'!A71</f>
        <v>18</v>
      </c>
      <c r="B71" s="57">
        <f ca="1">'24hr SPS'!B71</f>
        <v>85.416666666666686</v>
      </c>
      <c r="C71" s="77">
        <v>0</v>
      </c>
      <c r="D71" s="77">
        <v>2.7159870770033807</v>
      </c>
      <c r="E71" s="77">
        <v>2.8857362693160922</v>
      </c>
      <c r="F71" s="77">
        <v>3.0554854616288032</v>
      </c>
      <c r="G71" s="77">
        <v>3.5647330385669371</v>
      </c>
      <c r="H71" s="77">
        <v>9.9918662736448081</v>
      </c>
      <c r="I71" s="77">
        <v>17.898470923257612</v>
      </c>
      <c r="J71" s="77">
        <v>64.271332350778692</v>
      </c>
      <c r="K71" s="77">
        <v>127.65811504545155</v>
      </c>
      <c r="L71" s="77">
        <v>23.864627897676815</v>
      </c>
      <c r="M71" s="77">
        <v>13.114324484158809</v>
      </c>
      <c r="N71" s="77">
        <v>4.5832281924432046</v>
      </c>
      <c r="O71" s="77">
        <v>40.774385498531998</v>
      </c>
      <c r="P71" s="77">
        <v>44.703552165198666</v>
      </c>
      <c r="Q71" s="77">
        <v>35.762841732158932</v>
      </c>
      <c r="R71" s="77">
        <v>26.822131299119203</v>
      </c>
      <c r="S71" s="77">
        <v>17.881420866079466</v>
      </c>
      <c r="T71" s="77">
        <v>11.085689949657468</v>
      </c>
      <c r="U71" s="77">
        <v>0</v>
      </c>
      <c r="V71" s="77"/>
      <c r="W71" s="77"/>
      <c r="X71" s="77"/>
      <c r="Y71" s="77"/>
      <c r="Z71" s="77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>
        <v>450.6339285246724</v>
      </c>
      <c r="AZ71" s="60">
        <f>SUH!$Y$11*SUH!$Y$15</f>
        <v>15.757379999999998</v>
      </c>
      <c r="BA71" s="57">
        <f t="shared" si="26"/>
        <v>466.39130852467241</v>
      </c>
      <c r="BB71" s="89"/>
      <c r="BC71">
        <v>19</v>
      </c>
      <c r="BD71" t="s">
        <v>241</v>
      </c>
      <c r="BE71" s="29">
        <v>5486.1952686478971</v>
      </c>
      <c r="BF71" t="s">
        <v>977</v>
      </c>
    </row>
    <row r="72" spans="1:58">
      <c r="A72" s="57">
        <f>'24hr SPS'!A72</f>
        <v>19</v>
      </c>
      <c r="B72" s="57">
        <f ca="1">'24hr SPS'!B72</f>
        <v>79.722222222222243</v>
      </c>
      <c r="C72" s="77">
        <v>0</v>
      </c>
      <c r="D72" s="77">
        <v>2.5462378846906697</v>
      </c>
      <c r="E72" s="77">
        <v>2.7159870770033807</v>
      </c>
      <c r="F72" s="77">
        <v>2.8857362693160922</v>
      </c>
      <c r="G72" s="77">
        <v>3.0554854616288032</v>
      </c>
      <c r="H72" s="77">
        <v>8.7428829894392077</v>
      </c>
      <c r="I72" s="77">
        <v>15.909751931784546</v>
      </c>
      <c r="J72" s="77">
        <v>57.844199115700825</v>
      </c>
      <c r="K72" s="77">
        <v>116.05283185950141</v>
      </c>
      <c r="L72" s="77">
        <v>21.875908906203751</v>
      </c>
      <c r="M72" s="77">
        <v>14.987799410467211</v>
      </c>
      <c r="N72" s="77">
        <v>5.347099557850405</v>
      </c>
      <c r="O72" s="77">
        <v>61.161578247797998</v>
      </c>
      <c r="P72" s="77">
        <v>53.644262598238406</v>
      </c>
      <c r="Q72" s="77">
        <v>44.703552165198666</v>
      </c>
      <c r="R72" s="77">
        <v>35.762841732158932</v>
      </c>
      <c r="S72" s="77">
        <v>26.822131299119203</v>
      </c>
      <c r="T72" s="77">
        <v>22.171379899314935</v>
      </c>
      <c r="U72" s="77">
        <v>13.2306694662752</v>
      </c>
      <c r="V72" s="77">
        <v>0</v>
      </c>
      <c r="W72" s="77"/>
      <c r="X72" s="77"/>
      <c r="Y72" s="77"/>
      <c r="Z72" s="77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>
        <v>509.46033587168967</v>
      </c>
      <c r="AZ72" s="60">
        <f>SUH!$Y$11*SUH!$Y$15</f>
        <v>15.757379999999998</v>
      </c>
      <c r="BA72" s="57">
        <f t="shared" si="26"/>
        <v>525.21771587168962</v>
      </c>
      <c r="BB72" s="89"/>
      <c r="BC72">
        <v>20</v>
      </c>
      <c r="BD72" t="s">
        <v>242</v>
      </c>
      <c r="BE72" s="29">
        <v>5627.6625930954033</v>
      </c>
      <c r="BF72" t="s">
        <v>976</v>
      </c>
    </row>
    <row r="73" spans="1:58">
      <c r="A73" s="57">
        <f>'24hr SPS'!A73</f>
        <v>20</v>
      </c>
      <c r="B73" s="57">
        <f ca="1">'24hr SPS'!B73</f>
        <v>74.0277777777778</v>
      </c>
      <c r="C73" s="77">
        <v>0</v>
      </c>
      <c r="D73" s="77">
        <v>2.3764886923779582</v>
      </c>
      <c r="E73" s="77">
        <v>2.5462378846906697</v>
      </c>
      <c r="F73" s="77">
        <v>2.7159870770033807</v>
      </c>
      <c r="G73" s="77">
        <v>2.8857362693160922</v>
      </c>
      <c r="H73" s="77">
        <v>7.4938997052336065</v>
      </c>
      <c r="I73" s="77">
        <v>13.921032940311477</v>
      </c>
      <c r="J73" s="77">
        <v>51.417065880622957</v>
      </c>
      <c r="K73" s="77">
        <v>104.44754867355125</v>
      </c>
      <c r="L73" s="77">
        <v>19.88718991473068</v>
      </c>
      <c r="M73" s="77">
        <v>13.738816126261611</v>
      </c>
      <c r="N73" s="77">
        <v>6.1109709232576055</v>
      </c>
      <c r="O73" s="77">
        <v>71.355174622430994</v>
      </c>
      <c r="P73" s="77">
        <v>80.466393897357605</v>
      </c>
      <c r="Q73" s="77">
        <v>53.644262598238406</v>
      </c>
      <c r="R73" s="77">
        <v>44.703552165198666</v>
      </c>
      <c r="S73" s="77">
        <v>35.762841732158932</v>
      </c>
      <c r="T73" s="77">
        <v>33.257069848972407</v>
      </c>
      <c r="U73" s="77">
        <v>26.461338932550401</v>
      </c>
      <c r="V73" s="77">
        <v>26.100546565981599</v>
      </c>
      <c r="W73" s="77">
        <v>0</v>
      </c>
      <c r="X73" s="77"/>
      <c r="Y73" s="77"/>
      <c r="Z73" s="77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>
        <v>599.29215445024624</v>
      </c>
      <c r="AZ73" s="60">
        <f>SUH!$Y$11*SUH!$Y$15</f>
        <v>15.757379999999998</v>
      </c>
      <c r="BA73" s="57">
        <f t="shared" si="26"/>
        <v>615.04953445024626</v>
      </c>
      <c r="BB73" s="89"/>
      <c r="BC73">
        <v>21</v>
      </c>
      <c r="BD73" t="s">
        <v>243</v>
      </c>
      <c r="BE73" s="29">
        <v>5533.4017413742704</v>
      </c>
      <c r="BF73" t="s">
        <v>977</v>
      </c>
    </row>
    <row r="74" spans="1:58">
      <c r="A74" s="57">
        <f>'24hr SPS'!A74</f>
        <v>21</v>
      </c>
      <c r="B74" s="57">
        <f ca="1">'24hr SPS'!B74</f>
        <v>68.333333333333343</v>
      </c>
      <c r="C74" s="77">
        <v>0</v>
      </c>
      <c r="D74" s="77">
        <v>2.2067395000652472</v>
      </c>
      <c r="E74" s="77">
        <v>2.3764886923779582</v>
      </c>
      <c r="F74" s="77">
        <v>2.5462378846906697</v>
      </c>
      <c r="G74" s="77">
        <v>2.7159870770033807</v>
      </c>
      <c r="H74" s="77">
        <v>7.0775719438317397</v>
      </c>
      <c r="I74" s="77">
        <v>11.932313948838409</v>
      </c>
      <c r="J74" s="77">
        <v>44.989932645545089</v>
      </c>
      <c r="K74" s="77">
        <v>92.842265487601125</v>
      </c>
      <c r="L74" s="77">
        <v>17.898470923257612</v>
      </c>
      <c r="M74" s="77">
        <v>12.489832842056011</v>
      </c>
      <c r="N74" s="77">
        <v>5.6017233463194724</v>
      </c>
      <c r="O74" s="77">
        <v>81.548770997063997</v>
      </c>
      <c r="P74" s="77">
        <v>93.877459546917208</v>
      </c>
      <c r="Q74" s="77">
        <v>80.466393897357605</v>
      </c>
      <c r="R74" s="77">
        <v>53.644262598238406</v>
      </c>
      <c r="S74" s="77">
        <v>44.703552165198666</v>
      </c>
      <c r="T74" s="77">
        <v>44.342759798629871</v>
      </c>
      <c r="U74" s="77">
        <v>39.692008398825607</v>
      </c>
      <c r="V74" s="77">
        <v>52.201093131963198</v>
      </c>
      <c r="W74" s="77">
        <v>41.115403182305734</v>
      </c>
      <c r="X74" s="77">
        <v>0</v>
      </c>
      <c r="Y74" s="77"/>
      <c r="Z74" s="77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>
        <v>734.2692680080869</v>
      </c>
      <c r="AZ74" s="60">
        <f>SUH!$Y$11*SUH!$Y$15</f>
        <v>15.757379999999998</v>
      </c>
      <c r="BA74" s="57">
        <f t="shared" si="26"/>
        <v>750.02664800808691</v>
      </c>
      <c r="BB74" s="89"/>
      <c r="BC74" s="95">
        <v>22</v>
      </c>
      <c r="BD74" s="95" t="s">
        <v>244</v>
      </c>
      <c r="BE74" s="96">
        <v>5590.8444434357343</v>
      </c>
      <c r="BF74" s="95" t="s">
        <v>976</v>
      </c>
    </row>
    <row r="75" spans="1:58">
      <c r="A75" s="57">
        <f>'24hr SPS'!A75</f>
        <v>22</v>
      </c>
      <c r="B75" s="57">
        <f ca="1">'24hr SPS'!B75</f>
        <v>62.6388888888889</v>
      </c>
      <c r="C75" s="77">
        <v>0</v>
      </c>
      <c r="D75" s="77">
        <v>2.0369903077525358</v>
      </c>
      <c r="E75" s="77">
        <v>2.2067395000652472</v>
      </c>
      <c r="F75" s="77">
        <v>2.3764886923779582</v>
      </c>
      <c r="G75" s="77">
        <v>2.5462378846906697</v>
      </c>
      <c r="H75" s="77">
        <v>6.6612441824298729</v>
      </c>
      <c r="I75" s="77">
        <v>11.269407618347387</v>
      </c>
      <c r="J75" s="77">
        <v>38.562799410467221</v>
      </c>
      <c r="K75" s="77">
        <v>81.236982301650983</v>
      </c>
      <c r="L75" s="77">
        <v>15.909751931784546</v>
      </c>
      <c r="M75" s="77">
        <v>11.240849557850408</v>
      </c>
      <c r="N75" s="77">
        <v>5.0924757693813385</v>
      </c>
      <c r="O75" s="77">
        <v>74.753040080642009</v>
      </c>
      <c r="P75" s="77">
        <v>107.28852519647681</v>
      </c>
      <c r="Q75" s="77">
        <v>93.877459546917208</v>
      </c>
      <c r="R75" s="77">
        <v>80.466393897357605</v>
      </c>
      <c r="S75" s="77">
        <v>53.644262598238406</v>
      </c>
      <c r="T75" s="77">
        <v>55.428449748287335</v>
      </c>
      <c r="U75" s="77">
        <v>52.922677865100802</v>
      </c>
      <c r="V75" s="77">
        <v>78.301639697944807</v>
      </c>
      <c r="W75" s="77">
        <v>82.230806364611468</v>
      </c>
      <c r="X75" s="77">
        <v>13.2306694662752</v>
      </c>
      <c r="Y75" s="77">
        <v>0</v>
      </c>
      <c r="Z75" s="77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>
        <v>871.28389161864982</v>
      </c>
      <c r="AZ75" s="60">
        <f>SUH!$Y$11*SUH!$Y$15</f>
        <v>15.757379999999998</v>
      </c>
      <c r="BA75" s="57">
        <f t="shared" si="26"/>
        <v>887.04127161864983</v>
      </c>
      <c r="BB75" s="89"/>
      <c r="BC75">
        <v>23</v>
      </c>
      <c r="BD75" t="s">
        <v>245</v>
      </c>
      <c r="BE75" s="29">
        <v>5149.587449802535</v>
      </c>
      <c r="BF75" t="s">
        <v>975</v>
      </c>
    </row>
    <row r="76" spans="1:58">
      <c r="A76" s="57">
        <f>'24hr SPS'!A76</f>
        <v>23</v>
      </c>
      <c r="B76" s="57">
        <f ca="1">'24hr SPS'!B76</f>
        <v>56.944444444444457</v>
      </c>
      <c r="C76" s="77">
        <v>0</v>
      </c>
      <c r="D76" s="77">
        <v>1.8672411154398243</v>
      </c>
      <c r="E76" s="77">
        <v>2.0369903077525358</v>
      </c>
      <c r="F76" s="77">
        <v>2.2067395000652472</v>
      </c>
      <c r="G76" s="77">
        <v>2.3764886923779582</v>
      </c>
      <c r="H76" s="77">
        <v>6.2449164210280061</v>
      </c>
      <c r="I76" s="77">
        <v>10.606501287856364</v>
      </c>
      <c r="J76" s="77">
        <v>36.420421665441268</v>
      </c>
      <c r="K76" s="77">
        <v>69.631699115700854</v>
      </c>
      <c r="L76" s="77">
        <v>13.921032940311477</v>
      </c>
      <c r="M76" s="77">
        <v>9.9918662736448081</v>
      </c>
      <c r="N76" s="77">
        <v>4.5832281924432046</v>
      </c>
      <c r="O76" s="77">
        <v>67.957309164220007</v>
      </c>
      <c r="P76" s="77">
        <v>98.347814763437086</v>
      </c>
      <c r="Q76" s="77">
        <v>107.28852519647681</v>
      </c>
      <c r="R76" s="77">
        <v>93.877459546917208</v>
      </c>
      <c r="S76" s="77">
        <v>80.466393897357605</v>
      </c>
      <c r="T76" s="77">
        <v>66.514139697944813</v>
      </c>
      <c r="U76" s="77">
        <v>66.153347331375997</v>
      </c>
      <c r="V76" s="77">
        <v>104.4021862639264</v>
      </c>
      <c r="W76" s="77">
        <v>123.34620954691721</v>
      </c>
      <c r="X76" s="77">
        <v>26.461338932550401</v>
      </c>
      <c r="Y76" s="77">
        <v>11.085689949657468</v>
      </c>
      <c r="Z76" s="77">
        <v>0</v>
      </c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>
        <v>1005.7875398028425</v>
      </c>
      <c r="AZ76" s="60">
        <f>SUH!$Y$11*SUH!$Y$15</f>
        <v>15.757379999999998</v>
      </c>
      <c r="BA76" s="57">
        <f t="shared" si="26"/>
        <v>1021.5449198028425</v>
      </c>
      <c r="BB76" s="89"/>
      <c r="BC76">
        <v>24</v>
      </c>
      <c r="BD76" t="s">
        <v>246</v>
      </c>
      <c r="BE76" s="29">
        <v>5161.9084841374633</v>
      </c>
      <c r="BF76" t="s">
        <v>975</v>
      </c>
    </row>
    <row r="77" spans="1:58">
      <c r="A77" s="57">
        <f>'24hr SPS'!A77</f>
        <v>24</v>
      </c>
      <c r="B77" s="57">
        <f ca="1">'24hr SPS'!B77</f>
        <v>51.25</v>
      </c>
      <c r="C77" s="77">
        <v>0</v>
      </c>
      <c r="D77" s="77">
        <v>1.6974919231271131</v>
      </c>
      <c r="E77" s="77">
        <v>1.8672411154398243</v>
      </c>
      <c r="F77" s="77">
        <v>2.0369903077525358</v>
      </c>
      <c r="G77" s="77">
        <v>2.2067395000652472</v>
      </c>
      <c r="H77" s="77">
        <v>5.8285886596261394</v>
      </c>
      <c r="I77" s="77">
        <v>9.9435949573653417</v>
      </c>
      <c r="J77" s="77">
        <v>34.278043920415307</v>
      </c>
      <c r="K77" s="77">
        <v>65.763271387050807</v>
      </c>
      <c r="L77" s="77">
        <v>11.932313948838409</v>
      </c>
      <c r="M77" s="77">
        <v>8.7428829894392077</v>
      </c>
      <c r="N77" s="77">
        <v>4.0739806155050715</v>
      </c>
      <c r="O77" s="77">
        <v>61.161578247797998</v>
      </c>
      <c r="P77" s="77">
        <v>89.407104330397345</v>
      </c>
      <c r="Q77" s="77">
        <v>98.347814763437086</v>
      </c>
      <c r="R77" s="77">
        <v>107.28852519647681</v>
      </c>
      <c r="S77" s="77">
        <v>93.877459546917208</v>
      </c>
      <c r="T77" s="77">
        <v>99.771209546917206</v>
      </c>
      <c r="U77" s="77">
        <v>79.384016797651213</v>
      </c>
      <c r="V77" s="77">
        <v>130.50273282990798</v>
      </c>
      <c r="W77" s="77">
        <v>164.46161272922294</v>
      </c>
      <c r="X77" s="77">
        <v>39.692008398825607</v>
      </c>
      <c r="Y77" s="77">
        <v>22.171379899314935</v>
      </c>
      <c r="Z77" s="77">
        <v>8.9407104330397331</v>
      </c>
      <c r="AA77" s="77">
        <v>0</v>
      </c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>
        <v>1143.377292044531</v>
      </c>
      <c r="AZ77" s="60">
        <f>SUH!$Y$11*SUH!$Y$15</f>
        <v>15.757379999999998</v>
      </c>
      <c r="BA77" s="57">
        <f t="shared" si="26"/>
        <v>1159.134672044531</v>
      </c>
      <c r="BB77" s="89"/>
    </row>
    <row r="78" spans="1:58">
      <c r="A78" s="57">
        <f>'24hr SPS'!A78</f>
        <v>25</v>
      </c>
      <c r="B78" s="57">
        <f ca="1">'24hr SPS'!B78</f>
        <v>45.555555555555571</v>
      </c>
      <c r="C78" s="77">
        <v>0</v>
      </c>
      <c r="D78" s="77">
        <v>1.5277427308144014</v>
      </c>
      <c r="E78" s="77">
        <v>1.6974919231271131</v>
      </c>
      <c r="F78" s="77">
        <v>1.8672411154398243</v>
      </c>
      <c r="G78" s="77">
        <v>2.0369903077525358</v>
      </c>
      <c r="H78" s="77">
        <v>5.4122608982242726</v>
      </c>
      <c r="I78" s="77">
        <v>9.2806886268743192</v>
      </c>
      <c r="J78" s="77">
        <v>32.135666175389353</v>
      </c>
      <c r="K78" s="77">
        <v>61.89484365840076</v>
      </c>
      <c r="L78" s="77">
        <v>11.269407618347387</v>
      </c>
      <c r="M78" s="77">
        <v>7.4938997052336065</v>
      </c>
      <c r="N78" s="77">
        <v>3.5647330385669371</v>
      </c>
      <c r="O78" s="77">
        <v>54.36584733137601</v>
      </c>
      <c r="P78" s="77">
        <v>80.466393897357605</v>
      </c>
      <c r="Q78" s="77">
        <v>89.407104330397345</v>
      </c>
      <c r="R78" s="77">
        <v>98.347814763437086</v>
      </c>
      <c r="S78" s="77">
        <v>107.28852519647681</v>
      </c>
      <c r="T78" s="77">
        <v>116.39974447140341</v>
      </c>
      <c r="U78" s="77">
        <v>119.07602519647682</v>
      </c>
      <c r="V78" s="77">
        <v>156.60327939588961</v>
      </c>
      <c r="W78" s="77">
        <v>205.57701591152866</v>
      </c>
      <c r="X78" s="77">
        <v>52.922677865100802</v>
      </c>
      <c r="Y78" s="77">
        <v>33.257069848972407</v>
      </c>
      <c r="Z78" s="77">
        <v>17.881420866079466</v>
      </c>
      <c r="AA78" s="77">
        <v>25.067778650573057</v>
      </c>
      <c r="AB78" s="77">
        <v>0</v>
      </c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  <c r="AW78" s="77"/>
      <c r="AX78" s="77"/>
      <c r="AY78">
        <v>1294.8416635232395</v>
      </c>
      <c r="AZ78" s="60">
        <f>SUH!$Y$11*SUH!$Y$15</f>
        <v>15.757379999999998</v>
      </c>
      <c r="BA78" s="57">
        <f t="shared" si="26"/>
        <v>1310.5990435232395</v>
      </c>
      <c r="BB78" s="89"/>
    </row>
    <row r="79" spans="1:58">
      <c r="A79" s="57">
        <f>'24hr SPS'!A79</f>
        <v>26</v>
      </c>
      <c r="B79" s="57">
        <f ca="1">'24hr SPS'!B79</f>
        <v>39.861111111111114</v>
      </c>
      <c r="C79" s="77">
        <v>0</v>
      </c>
      <c r="D79" s="77">
        <v>1.3579935385016906</v>
      </c>
      <c r="E79" s="77">
        <v>1.5277427308144014</v>
      </c>
      <c r="F79" s="77">
        <v>1.6974919231271131</v>
      </c>
      <c r="G79" s="77">
        <v>1.8672411154398243</v>
      </c>
      <c r="H79" s="77">
        <v>4.995933136822404</v>
      </c>
      <c r="I79" s="77">
        <v>8.6177822963832966</v>
      </c>
      <c r="J79" s="77">
        <v>29.993288430363396</v>
      </c>
      <c r="K79" s="77">
        <v>58.026415929750712</v>
      </c>
      <c r="L79" s="77">
        <v>10.606501287856364</v>
      </c>
      <c r="M79" s="77">
        <v>7.0775719438317397</v>
      </c>
      <c r="N79" s="77">
        <v>3.0554854616288032</v>
      </c>
      <c r="O79" s="77">
        <v>47.570116414954001</v>
      </c>
      <c r="P79" s="77">
        <v>71.525683464317879</v>
      </c>
      <c r="Q79" s="77">
        <v>80.466393897357605</v>
      </c>
      <c r="R79" s="77">
        <v>89.407104330397345</v>
      </c>
      <c r="S79" s="77">
        <v>98.347814763437086</v>
      </c>
      <c r="T79" s="77">
        <v>133.02827939588963</v>
      </c>
      <c r="U79" s="77">
        <v>138.92202939588961</v>
      </c>
      <c r="V79" s="77">
        <v>234.90491909383442</v>
      </c>
      <c r="W79" s="77">
        <v>246.69241909383442</v>
      </c>
      <c r="X79" s="77">
        <v>66.153347331375997</v>
      </c>
      <c r="Y79" s="77">
        <v>44.342759798629871</v>
      </c>
      <c r="Z79" s="77">
        <v>26.822131299119203</v>
      </c>
      <c r="AA79" s="77">
        <v>50.135557301146115</v>
      </c>
      <c r="AB79" s="77">
        <v>30.867167714021004</v>
      </c>
      <c r="AC79" s="77">
        <v>0</v>
      </c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  <c r="AW79" s="77"/>
      <c r="AX79" s="77"/>
      <c r="AY79">
        <v>1488.0091710887239</v>
      </c>
      <c r="AZ79" s="60">
        <f>SUH!$Y$11*SUH!$Y$15</f>
        <v>15.757379999999998</v>
      </c>
      <c r="BA79" s="57">
        <f t="shared" si="26"/>
        <v>1503.7665510887239</v>
      </c>
      <c r="BB79" s="89"/>
    </row>
    <row r="80" spans="1:58">
      <c r="A80" s="57">
        <f>'24hr SPS'!A80</f>
        <v>27</v>
      </c>
      <c r="B80" s="57">
        <f ca="1">'24hr SPS'!B80</f>
        <v>34.166666666666686</v>
      </c>
      <c r="C80" s="77">
        <v>0</v>
      </c>
      <c r="D80" s="77">
        <v>1.1882443461889789</v>
      </c>
      <c r="E80" s="77">
        <v>1.3579935385016906</v>
      </c>
      <c r="F80" s="77">
        <v>1.5277427308144014</v>
      </c>
      <c r="G80" s="77">
        <v>1.6974919231271131</v>
      </c>
      <c r="H80" s="77">
        <v>4.5796053754205372</v>
      </c>
      <c r="I80" s="77">
        <v>7.9548759658922732</v>
      </c>
      <c r="J80" s="77">
        <v>27.850910685337443</v>
      </c>
      <c r="K80" s="77">
        <v>54.157988201100665</v>
      </c>
      <c r="L80" s="77">
        <v>9.9435949573653417</v>
      </c>
      <c r="M80" s="77">
        <v>6.6612441824298729</v>
      </c>
      <c r="N80" s="77">
        <v>2.8857362693160922</v>
      </c>
      <c r="O80" s="77">
        <v>40.774385498532006</v>
      </c>
      <c r="P80" s="77">
        <v>62.584973031278139</v>
      </c>
      <c r="Q80" s="77">
        <v>71.525683464317879</v>
      </c>
      <c r="R80" s="77">
        <v>80.466393897357605</v>
      </c>
      <c r="S80" s="77">
        <v>89.407104330397345</v>
      </c>
      <c r="T80" s="77">
        <v>121.94258944623216</v>
      </c>
      <c r="U80" s="77">
        <v>158.76803359530243</v>
      </c>
      <c r="V80" s="77">
        <v>274.05573894280684</v>
      </c>
      <c r="W80" s="77">
        <v>370.03862864075165</v>
      </c>
      <c r="X80" s="77">
        <v>79.384016797651213</v>
      </c>
      <c r="Y80" s="77">
        <v>55.428449748287335</v>
      </c>
      <c r="Z80" s="77">
        <v>35.762841732158932</v>
      </c>
      <c r="AA80" s="77">
        <v>75.203335951719183</v>
      </c>
      <c r="AB80" s="77">
        <v>61.734335428042009</v>
      </c>
      <c r="AC80" s="77">
        <v>30.867167714021004</v>
      </c>
      <c r="AD80" s="77">
        <v>0</v>
      </c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AY80">
        <v>1727.7491063943501</v>
      </c>
      <c r="AZ80" s="60">
        <f>SUH!$Y$11*SUH!$Y$15</f>
        <v>15.757379999999998</v>
      </c>
      <c r="BA80" s="57">
        <f t="shared" si="26"/>
        <v>1743.5064863943501</v>
      </c>
      <c r="BB80" s="89"/>
    </row>
    <row r="81" spans="1:54">
      <c r="A81" s="57">
        <f>'24hr SPS'!A81</f>
        <v>28</v>
      </c>
      <c r="B81" s="57">
        <f ca="1">'24hr SPS'!B81</f>
        <v>28.472222222222229</v>
      </c>
      <c r="C81" s="77">
        <v>0</v>
      </c>
      <c r="D81" s="77">
        <v>1.0184951538762681</v>
      </c>
      <c r="E81" s="77">
        <v>1.1882443461889789</v>
      </c>
      <c r="F81" s="77">
        <v>1.3579935385016906</v>
      </c>
      <c r="G81" s="77">
        <v>1.5277427308144014</v>
      </c>
      <c r="H81" s="77">
        <v>4.1632776140186705</v>
      </c>
      <c r="I81" s="77">
        <v>7.2919696354012506</v>
      </c>
      <c r="J81" s="77">
        <v>25.708532940311478</v>
      </c>
      <c r="K81" s="77">
        <v>50.289560472450617</v>
      </c>
      <c r="L81" s="77">
        <v>9.2806886268743192</v>
      </c>
      <c r="M81" s="77">
        <v>6.2449164210280061</v>
      </c>
      <c r="N81" s="77">
        <v>2.7159870770033807</v>
      </c>
      <c r="O81" s="77">
        <v>38.509141859724672</v>
      </c>
      <c r="P81" s="77">
        <v>53.644262598238413</v>
      </c>
      <c r="Q81" s="77">
        <v>62.584973031278139</v>
      </c>
      <c r="R81" s="77">
        <v>71.525683464317879</v>
      </c>
      <c r="S81" s="77">
        <v>80.466393897357605</v>
      </c>
      <c r="T81" s="77">
        <v>110.85689949657468</v>
      </c>
      <c r="U81" s="77">
        <v>145.53736412902722</v>
      </c>
      <c r="V81" s="77">
        <v>313.20655879177923</v>
      </c>
      <c r="W81" s="77">
        <v>431.71173341421024</v>
      </c>
      <c r="X81" s="77">
        <v>119.07602519647682</v>
      </c>
      <c r="Y81" s="77">
        <v>66.514139697944813</v>
      </c>
      <c r="Z81" s="77">
        <v>44.703552165198666</v>
      </c>
      <c r="AA81" s="77">
        <v>100.27111460229223</v>
      </c>
      <c r="AB81" s="77">
        <v>92.601503142063024</v>
      </c>
      <c r="AC81" s="77">
        <v>61.734335428042009</v>
      </c>
      <c r="AD81" s="77">
        <v>30.867167714021004</v>
      </c>
      <c r="AE81" s="77">
        <v>0</v>
      </c>
      <c r="AF81" s="77"/>
      <c r="AG81" s="77"/>
      <c r="AH81" s="77"/>
      <c r="AI81" s="77"/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  <c r="AW81" s="77"/>
      <c r="AX81" s="77"/>
      <c r="AY81">
        <v>1934.5982571850157</v>
      </c>
      <c r="AZ81" s="60">
        <f>SUH!$Y$11*SUH!$Y$15</f>
        <v>15.757379999999998</v>
      </c>
      <c r="BA81" s="57">
        <f t="shared" si="26"/>
        <v>1950.3556371850157</v>
      </c>
      <c r="BB81" s="89"/>
    </row>
    <row r="82" spans="1:54">
      <c r="A82" s="57">
        <f>'24hr SPS'!A82</f>
        <v>29</v>
      </c>
      <c r="B82" s="57">
        <f ca="1">'24hr SPS'!B82</f>
        <v>22.7777777777778</v>
      </c>
      <c r="C82" s="77">
        <v>0</v>
      </c>
      <c r="D82" s="77">
        <v>0.84874596156355653</v>
      </c>
      <c r="E82" s="77">
        <v>1.0184951538762681</v>
      </c>
      <c r="F82" s="77">
        <v>1.1882443461889789</v>
      </c>
      <c r="G82" s="77">
        <v>1.3579935385016906</v>
      </c>
      <c r="H82" s="77">
        <v>3.7469498526168028</v>
      </c>
      <c r="I82" s="77">
        <v>6.6290633049102281</v>
      </c>
      <c r="J82" s="77">
        <v>23.566155195285525</v>
      </c>
      <c r="K82" s="77">
        <v>46.421132743800563</v>
      </c>
      <c r="L82" s="77">
        <v>8.6177822963832966</v>
      </c>
      <c r="M82" s="77">
        <v>5.8285886596261394</v>
      </c>
      <c r="N82" s="77">
        <v>2.5462378846906697</v>
      </c>
      <c r="O82" s="77">
        <v>36.243898220917337</v>
      </c>
      <c r="P82" s="77">
        <v>50.664025787225164</v>
      </c>
      <c r="Q82" s="77">
        <v>53.644262598238413</v>
      </c>
      <c r="R82" s="77">
        <v>62.584973031278139</v>
      </c>
      <c r="S82" s="77">
        <v>71.525683464317879</v>
      </c>
      <c r="T82" s="77">
        <v>99.771209546917206</v>
      </c>
      <c r="U82" s="77">
        <v>132.30669466275202</v>
      </c>
      <c r="V82" s="77">
        <v>287.10601222579766</v>
      </c>
      <c r="W82" s="77">
        <v>493.38483818766883</v>
      </c>
      <c r="X82" s="77">
        <v>138.92202939588961</v>
      </c>
      <c r="Y82" s="77">
        <v>99.771209546917206</v>
      </c>
      <c r="Z82" s="77">
        <v>53.644262598238406</v>
      </c>
      <c r="AA82" s="77">
        <v>125.33889325286528</v>
      </c>
      <c r="AB82" s="77">
        <v>123.46867085608402</v>
      </c>
      <c r="AC82" s="77">
        <v>92.601503142063024</v>
      </c>
      <c r="AD82" s="77">
        <v>61.734335428042009</v>
      </c>
      <c r="AE82" s="77">
        <v>30.867167714021004</v>
      </c>
      <c r="AF82" s="77">
        <v>0</v>
      </c>
      <c r="AG82" s="77"/>
      <c r="AH82" s="77"/>
      <c r="AI82" s="77"/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  <c r="AW82" s="77"/>
      <c r="AX82" s="77"/>
      <c r="AY82">
        <v>2115.349058596677</v>
      </c>
      <c r="AZ82" s="60">
        <f>SUH!$Y$11*SUH!$Y$15</f>
        <v>15.757379999999998</v>
      </c>
      <c r="BA82" s="57">
        <f t="shared" si="26"/>
        <v>2131.106438596677</v>
      </c>
      <c r="BB82" s="89"/>
    </row>
    <row r="83" spans="1:54">
      <c r="A83" s="57">
        <f>'24hr SPS'!A83</f>
        <v>30</v>
      </c>
      <c r="B83" s="57">
        <f ca="1">'24hr SPS'!B83</f>
        <v>17.083333333333343</v>
      </c>
      <c r="C83" s="77">
        <v>0</v>
      </c>
      <c r="D83" s="77">
        <v>0.67899676925084573</v>
      </c>
      <c r="E83" s="77">
        <v>0.84874596156355653</v>
      </c>
      <c r="F83" s="77">
        <v>1.0184951538762681</v>
      </c>
      <c r="G83" s="77">
        <v>1.1882443461889789</v>
      </c>
      <c r="H83" s="77">
        <v>3.3306220912149369</v>
      </c>
      <c r="I83" s="77">
        <v>5.9661569744192038</v>
      </c>
      <c r="J83" s="77">
        <v>21.423777450259568</v>
      </c>
      <c r="K83" s="77">
        <v>42.552705015150522</v>
      </c>
      <c r="L83" s="77">
        <v>7.9548759658922732</v>
      </c>
      <c r="M83" s="77">
        <v>5.4122608982242726</v>
      </c>
      <c r="N83" s="77">
        <v>2.3764886923779582</v>
      </c>
      <c r="O83" s="77">
        <v>33.978654582110011</v>
      </c>
      <c r="P83" s="77">
        <v>47.683788976211922</v>
      </c>
      <c r="Q83" s="77">
        <v>50.664025787225164</v>
      </c>
      <c r="R83" s="77">
        <v>53.644262598238413</v>
      </c>
      <c r="S83" s="77">
        <v>62.584973031278139</v>
      </c>
      <c r="T83" s="77">
        <v>88.685519597259756</v>
      </c>
      <c r="U83" s="77">
        <v>119.07602519647682</v>
      </c>
      <c r="V83" s="77">
        <v>261.00546565981602</v>
      </c>
      <c r="W83" s="77">
        <v>452.26943500536316</v>
      </c>
      <c r="X83" s="77">
        <v>158.76803359530243</v>
      </c>
      <c r="Y83" s="77">
        <v>116.39974447140341</v>
      </c>
      <c r="Z83" s="77">
        <v>80.466393897357605</v>
      </c>
      <c r="AA83" s="77">
        <v>150.40667190343837</v>
      </c>
      <c r="AB83" s="77">
        <v>154.33583857010501</v>
      </c>
      <c r="AC83" s="77">
        <v>123.46867085608402</v>
      </c>
      <c r="AD83" s="77">
        <v>92.601503142063024</v>
      </c>
      <c r="AE83" s="77">
        <v>61.734335428042009</v>
      </c>
      <c r="AF83" s="77">
        <v>36.666556777468955</v>
      </c>
      <c r="AG83" s="77">
        <v>0</v>
      </c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>
        <v>2237.1912683936625</v>
      </c>
      <c r="AZ83" s="60">
        <f>SUH!$Y$11*SUH!$Y$15</f>
        <v>15.757379999999998</v>
      </c>
      <c r="BA83" s="57">
        <f t="shared" si="26"/>
        <v>2252.9486483936626</v>
      </c>
      <c r="BB83" s="89"/>
    </row>
    <row r="84" spans="1:54">
      <c r="A84" s="57">
        <f>'24hr SPS'!A84</f>
        <v>31</v>
      </c>
      <c r="B84" s="57">
        <f ca="1">'24hr SPS'!B84</f>
        <v>11.388888888888914</v>
      </c>
      <c r="C84" s="77">
        <v>0</v>
      </c>
      <c r="D84" s="77">
        <v>0.50924757693813405</v>
      </c>
      <c r="E84" s="77">
        <v>0.67899676925084573</v>
      </c>
      <c r="F84" s="77">
        <v>0.84874596156355653</v>
      </c>
      <c r="G84" s="77">
        <v>1.0184951538762681</v>
      </c>
      <c r="H84" s="77">
        <v>2.9142943298130688</v>
      </c>
      <c r="I84" s="77">
        <v>5.303250643928183</v>
      </c>
      <c r="J84" s="77">
        <v>19.281399705233607</v>
      </c>
      <c r="K84" s="77">
        <v>38.684277286500475</v>
      </c>
      <c r="L84" s="77">
        <v>7.2919696354012506</v>
      </c>
      <c r="M84" s="77">
        <v>4.995933136822404</v>
      </c>
      <c r="N84" s="77">
        <v>2.2067395000652472</v>
      </c>
      <c r="O84" s="77">
        <v>31.713410943302673</v>
      </c>
      <c r="P84" s="77">
        <v>44.70355216519868</v>
      </c>
      <c r="Q84" s="77">
        <v>47.683788976211922</v>
      </c>
      <c r="R84" s="77">
        <v>50.664025787225164</v>
      </c>
      <c r="S84" s="77">
        <v>53.644262598238413</v>
      </c>
      <c r="T84" s="77">
        <v>77.599829647602277</v>
      </c>
      <c r="U84" s="77">
        <v>105.84535573020163</v>
      </c>
      <c r="V84" s="77">
        <v>234.90491909383442</v>
      </c>
      <c r="W84" s="77">
        <v>411.15403182305738</v>
      </c>
      <c r="X84" s="77">
        <v>145.53736412902722</v>
      </c>
      <c r="Y84" s="77">
        <v>133.02827939588963</v>
      </c>
      <c r="Z84" s="77">
        <v>93.877459546917208</v>
      </c>
      <c r="AA84" s="77">
        <v>225.61000785515753</v>
      </c>
      <c r="AB84" s="77">
        <v>185.20300628412605</v>
      </c>
      <c r="AC84" s="77">
        <v>154.33583857010501</v>
      </c>
      <c r="AD84" s="77">
        <v>123.46867085608402</v>
      </c>
      <c r="AE84" s="77">
        <v>92.601503142063024</v>
      </c>
      <c r="AF84" s="77">
        <v>73.33311355493791</v>
      </c>
      <c r="AG84" s="77">
        <v>42.465945840916888</v>
      </c>
      <c r="AH84" s="77">
        <v>0</v>
      </c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77"/>
      <c r="AY84">
        <v>2411.1077156394904</v>
      </c>
      <c r="AZ84" s="60">
        <f>SUH!$Y$11*SUH!$Y$15</f>
        <v>15.757379999999998</v>
      </c>
      <c r="BA84" s="57">
        <f t="shared" si="26"/>
        <v>2426.8650956394904</v>
      </c>
      <c r="BB84" s="89"/>
    </row>
    <row r="85" spans="1:54">
      <c r="A85" s="57">
        <f>'24hr SPS'!A85</f>
        <v>32</v>
      </c>
      <c r="B85" s="57">
        <f ca="1">'24hr SPS'!B85</f>
        <v>5.6944444444444571</v>
      </c>
      <c r="C85" s="77">
        <v>0</v>
      </c>
      <c r="D85" s="77">
        <v>0.33949838462542331</v>
      </c>
      <c r="E85" s="77">
        <v>0.50924757693813405</v>
      </c>
      <c r="F85" s="77">
        <v>0.67899676925084573</v>
      </c>
      <c r="G85" s="77">
        <v>0.84874596156355653</v>
      </c>
      <c r="H85" s="77">
        <v>2.4979665684112033</v>
      </c>
      <c r="I85" s="77">
        <v>4.6403443134371587</v>
      </c>
      <c r="J85" s="77">
        <v>17.139021960207657</v>
      </c>
      <c r="K85" s="77">
        <v>34.81584955785042</v>
      </c>
      <c r="L85" s="77">
        <v>6.6290633049102281</v>
      </c>
      <c r="M85" s="77">
        <v>4.5796053754205372</v>
      </c>
      <c r="N85" s="77">
        <v>2.0369903077525358</v>
      </c>
      <c r="O85" s="77">
        <v>29.448167304495342</v>
      </c>
      <c r="P85" s="77">
        <v>41.723315354185438</v>
      </c>
      <c r="Q85" s="77">
        <v>44.70355216519868</v>
      </c>
      <c r="R85" s="77">
        <v>47.683788976211922</v>
      </c>
      <c r="S85" s="77">
        <v>50.664025787225164</v>
      </c>
      <c r="T85" s="77">
        <v>66.514139697944813</v>
      </c>
      <c r="U85" s="77">
        <v>92.614686263926416</v>
      </c>
      <c r="V85" s="77">
        <v>208.80437252785285</v>
      </c>
      <c r="W85" s="77">
        <v>370.03862864075165</v>
      </c>
      <c r="X85" s="77">
        <v>132.30669466275202</v>
      </c>
      <c r="Y85" s="77">
        <v>121.94258944623216</v>
      </c>
      <c r="Z85" s="77">
        <v>107.28852519647681</v>
      </c>
      <c r="AA85" s="77">
        <v>263.21167583101709</v>
      </c>
      <c r="AB85" s="77">
        <v>277.8045094261891</v>
      </c>
      <c r="AC85" s="77">
        <v>185.20300628412605</v>
      </c>
      <c r="AD85" s="77">
        <v>154.33583857010501</v>
      </c>
      <c r="AE85" s="77">
        <v>123.46867085608402</v>
      </c>
      <c r="AF85" s="77">
        <v>109.99967033240686</v>
      </c>
      <c r="AG85" s="77">
        <v>84.931891681833775</v>
      </c>
      <c r="AH85" s="77">
        <v>77.262280221604556</v>
      </c>
      <c r="AI85" s="77">
        <v>0</v>
      </c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W85" s="77"/>
      <c r="AX85" s="77"/>
      <c r="AY85">
        <v>2664.6653593069873</v>
      </c>
      <c r="AZ85" s="60">
        <f>SUH!$Y$11*SUH!$Y$15</f>
        <v>15.757379999999998</v>
      </c>
      <c r="BA85" s="57">
        <f t="shared" si="26"/>
        <v>2680.4227393069873</v>
      </c>
      <c r="BB85" s="89"/>
    </row>
    <row r="86" spans="1:54">
      <c r="A86" s="57">
        <f>'24hr SPS'!A86</f>
        <v>33</v>
      </c>
      <c r="B86" s="57">
        <f>'24hr SPS'!B86</f>
        <v>0</v>
      </c>
      <c r="C86" s="77">
        <v>0</v>
      </c>
      <c r="D86" s="77">
        <v>0.16974919231271166</v>
      </c>
      <c r="E86" s="77">
        <v>0.33949838462542331</v>
      </c>
      <c r="F86" s="77">
        <v>0.50924757693813405</v>
      </c>
      <c r="G86" s="77">
        <v>0.67899676925084573</v>
      </c>
      <c r="H86" s="77">
        <v>2.0816388070093352</v>
      </c>
      <c r="I86" s="77">
        <v>3.9774379829461384</v>
      </c>
      <c r="J86" s="77">
        <v>14.996644215181696</v>
      </c>
      <c r="K86" s="77">
        <v>30.947421829200383</v>
      </c>
      <c r="L86" s="77">
        <v>5.9661569744192038</v>
      </c>
      <c r="M86" s="77">
        <v>4.1632776140186705</v>
      </c>
      <c r="N86" s="77">
        <v>1.8672411154398243</v>
      </c>
      <c r="O86" s="77">
        <v>27.182923665688005</v>
      </c>
      <c r="P86" s="77">
        <v>38.743078543172189</v>
      </c>
      <c r="Q86" s="77">
        <v>41.723315354185438</v>
      </c>
      <c r="R86" s="77">
        <v>44.70355216519868</v>
      </c>
      <c r="S86" s="77">
        <v>47.683788976211922</v>
      </c>
      <c r="T86" s="77">
        <v>62.818909714725663</v>
      </c>
      <c r="U86" s="77">
        <v>79.384016797651228</v>
      </c>
      <c r="V86" s="77">
        <v>182.70382596187122</v>
      </c>
      <c r="W86" s="77">
        <v>328.92322545844593</v>
      </c>
      <c r="X86" s="77">
        <v>119.07602519647682</v>
      </c>
      <c r="Y86" s="77">
        <v>110.85689949657468</v>
      </c>
      <c r="Z86" s="77">
        <v>98.347814763437086</v>
      </c>
      <c r="AA86" s="77">
        <v>300.81334380687673</v>
      </c>
      <c r="AB86" s="77">
        <v>324.10526099722057</v>
      </c>
      <c r="AC86" s="77">
        <v>277.8045094261891</v>
      </c>
      <c r="AD86" s="77">
        <v>185.20300628412605</v>
      </c>
      <c r="AE86" s="77">
        <v>154.33583857010501</v>
      </c>
      <c r="AF86" s="77">
        <v>146.66622710987582</v>
      </c>
      <c r="AG86" s="77">
        <v>127.39783752275068</v>
      </c>
      <c r="AH86" s="77">
        <v>154.52456044320911</v>
      </c>
      <c r="AI86" s="77">
        <v>117.85800366574017</v>
      </c>
      <c r="AJ86" s="77">
        <v>0</v>
      </c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>
        <v>3036.5532743810745</v>
      </c>
      <c r="AZ86" s="60">
        <f>SUH!$Y$11*SUH!$Y$15</f>
        <v>15.757379999999998</v>
      </c>
      <c r="BA86" s="57">
        <f t="shared" si="26"/>
        <v>3052.3106543810745</v>
      </c>
      <c r="BB86" s="89"/>
    </row>
    <row r="87" spans="1:54">
      <c r="A87" s="57">
        <f>'24hr SPS'!A87</f>
        <v>34</v>
      </c>
      <c r="B87" s="57"/>
      <c r="C87" s="77"/>
      <c r="D87" s="77">
        <v>0</v>
      </c>
      <c r="E87" s="77">
        <v>0.16974919231271166</v>
      </c>
      <c r="F87" s="77">
        <v>0.33949838462542331</v>
      </c>
      <c r="G87" s="77">
        <v>0.50924757693813405</v>
      </c>
      <c r="H87" s="77">
        <v>1.6653110456074696</v>
      </c>
      <c r="I87" s="77">
        <v>3.3145316524551141</v>
      </c>
      <c r="J87" s="77">
        <v>12.854266470155745</v>
      </c>
      <c r="K87" s="77">
        <v>27.078994100550329</v>
      </c>
      <c r="L87" s="77">
        <v>5.303250643928183</v>
      </c>
      <c r="M87" s="77">
        <v>3.7469498526168028</v>
      </c>
      <c r="N87" s="77">
        <v>1.6974919231271131</v>
      </c>
      <c r="O87" s="77">
        <v>24.917680026880671</v>
      </c>
      <c r="P87" s="77">
        <v>35.76284173215894</v>
      </c>
      <c r="Q87" s="77">
        <v>38.743078543172189</v>
      </c>
      <c r="R87" s="77">
        <v>41.723315354185438</v>
      </c>
      <c r="S87" s="77">
        <v>44.70355216519868</v>
      </c>
      <c r="T87" s="77">
        <v>59.123679731506506</v>
      </c>
      <c r="U87" s="77">
        <v>74.973793642226155</v>
      </c>
      <c r="V87" s="77">
        <v>156.60327939588964</v>
      </c>
      <c r="W87" s="77">
        <v>287.8078222761402</v>
      </c>
      <c r="X87" s="77">
        <v>105.84535573020163</v>
      </c>
      <c r="Y87" s="77">
        <v>99.771209546917206</v>
      </c>
      <c r="Z87" s="77">
        <v>89.407104330397345</v>
      </c>
      <c r="AA87" s="77">
        <v>275.74556515630366</v>
      </c>
      <c r="AB87" s="77">
        <v>370.40601256825209</v>
      </c>
      <c r="AC87" s="77">
        <v>324.10526099722057</v>
      </c>
      <c r="AD87" s="77">
        <v>277.8045094261891</v>
      </c>
      <c r="AE87" s="77">
        <v>185.20300628412605</v>
      </c>
      <c r="AF87" s="77">
        <v>183.33278388734476</v>
      </c>
      <c r="AG87" s="77">
        <v>169.86378336366755</v>
      </c>
      <c r="AH87" s="77">
        <v>231.7868406648137</v>
      </c>
      <c r="AI87" s="77">
        <v>235.71600733148034</v>
      </c>
      <c r="AJ87" s="77">
        <v>42.465945840916888</v>
      </c>
      <c r="AK87" s="77">
        <v>0</v>
      </c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>
        <v>3412.4917188375061</v>
      </c>
      <c r="AZ87" s="60">
        <f>SUH!$Y$11*SUH!$Y$15</f>
        <v>15.757379999999998</v>
      </c>
      <c r="BA87" s="57">
        <f t="shared" si="26"/>
        <v>3428.2490988375062</v>
      </c>
      <c r="BB87" s="89"/>
    </row>
    <row r="88" spans="1:54">
      <c r="A88" s="57">
        <f>'24hr SPS'!A88</f>
        <v>35</v>
      </c>
      <c r="B88" s="57"/>
      <c r="C88" s="77"/>
      <c r="D88" s="77"/>
      <c r="E88" s="77">
        <v>0</v>
      </c>
      <c r="F88" s="77">
        <v>0.16974919231271166</v>
      </c>
      <c r="G88" s="77">
        <v>0.33949838462542331</v>
      </c>
      <c r="H88" s="77">
        <v>1.2489832842056017</v>
      </c>
      <c r="I88" s="77">
        <v>2.6516253219640933</v>
      </c>
      <c r="J88" s="77">
        <v>10.711888725129784</v>
      </c>
      <c r="K88" s="77">
        <v>23.210566371900292</v>
      </c>
      <c r="L88" s="77">
        <v>4.6403443134371587</v>
      </c>
      <c r="M88" s="77">
        <v>3.3306220912149369</v>
      </c>
      <c r="N88" s="77">
        <v>1.5277427308144014</v>
      </c>
      <c r="O88" s="77">
        <v>22.652436388073337</v>
      </c>
      <c r="P88" s="77">
        <v>32.782604921145698</v>
      </c>
      <c r="Q88" s="77">
        <v>35.76284173215894</v>
      </c>
      <c r="R88" s="77">
        <v>38.743078543172189</v>
      </c>
      <c r="S88" s="77">
        <v>41.723315354185438</v>
      </c>
      <c r="T88" s="77">
        <v>55.428449748287349</v>
      </c>
      <c r="U88" s="77">
        <v>70.563570486801098</v>
      </c>
      <c r="V88" s="77">
        <v>147.90309720722911</v>
      </c>
      <c r="W88" s="77">
        <v>246.69241909383447</v>
      </c>
      <c r="X88" s="77">
        <v>92.614686263926416</v>
      </c>
      <c r="Y88" s="77">
        <v>88.685519597259756</v>
      </c>
      <c r="Z88" s="77">
        <v>80.466393897357605</v>
      </c>
      <c r="AA88" s="77">
        <v>250.67778650573061</v>
      </c>
      <c r="AB88" s="77">
        <v>339.53884485423112</v>
      </c>
      <c r="AC88" s="77">
        <v>370.40601256825209</v>
      </c>
      <c r="AD88" s="77">
        <v>324.10526099722057</v>
      </c>
      <c r="AE88" s="77">
        <v>277.8045094261891</v>
      </c>
      <c r="AF88" s="77">
        <v>219.99934066481373</v>
      </c>
      <c r="AG88" s="77">
        <v>212.32972920458442</v>
      </c>
      <c r="AH88" s="77">
        <v>309.04912088641822</v>
      </c>
      <c r="AI88" s="77">
        <v>353.57401099722051</v>
      </c>
      <c r="AJ88" s="77">
        <v>84.931891681833775</v>
      </c>
      <c r="AK88" s="77">
        <v>36.666556777468955</v>
      </c>
      <c r="AL88" s="77">
        <v>0</v>
      </c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>
        <v>3780.9324982129992</v>
      </c>
      <c r="AZ88" s="60">
        <f>SUH!$Y$11*SUH!$Y$15</f>
        <v>15.757379999999998</v>
      </c>
      <c r="BA88" s="57">
        <f t="shared" si="26"/>
        <v>3796.6898782129992</v>
      </c>
      <c r="BB88" s="89"/>
    </row>
    <row r="89" spans="1:54">
      <c r="A89" s="57">
        <f>'24hr SPS'!A89</f>
        <v>36</v>
      </c>
      <c r="B89" s="57"/>
      <c r="C89" s="77"/>
      <c r="D89" s="77"/>
      <c r="E89" s="77"/>
      <c r="F89" s="77">
        <v>0</v>
      </c>
      <c r="G89" s="77">
        <v>0.16974919231271166</v>
      </c>
      <c r="H89" s="77">
        <v>0.83265552280373578</v>
      </c>
      <c r="I89" s="77">
        <v>1.9887189914730692</v>
      </c>
      <c r="J89" s="77">
        <v>8.5695109801038338</v>
      </c>
      <c r="K89" s="77">
        <v>19.342138643250237</v>
      </c>
      <c r="L89" s="77">
        <v>3.9774379829461384</v>
      </c>
      <c r="M89" s="77">
        <v>2.9142943298130688</v>
      </c>
      <c r="N89" s="77">
        <v>1.3579935385016906</v>
      </c>
      <c r="O89" s="77">
        <v>20.387192749265999</v>
      </c>
      <c r="P89" s="77">
        <v>29.802368110132452</v>
      </c>
      <c r="Q89" s="77">
        <v>32.782604921145698</v>
      </c>
      <c r="R89" s="77">
        <v>35.76284173215894</v>
      </c>
      <c r="S89" s="77">
        <v>38.743078543172189</v>
      </c>
      <c r="T89" s="77">
        <v>51.733219765068199</v>
      </c>
      <c r="U89" s="77">
        <v>66.153347331376025</v>
      </c>
      <c r="V89" s="77">
        <v>139.20291501856858</v>
      </c>
      <c r="W89" s="77">
        <v>232.98728469973256</v>
      </c>
      <c r="X89" s="77">
        <v>79.384016797651228</v>
      </c>
      <c r="Y89" s="77">
        <v>77.599829647602277</v>
      </c>
      <c r="Z89" s="77">
        <v>71.525683464317879</v>
      </c>
      <c r="AA89" s="77">
        <v>225.61000785515753</v>
      </c>
      <c r="AB89" s="77">
        <v>308.67167714021008</v>
      </c>
      <c r="AC89" s="77">
        <v>339.53884485423112</v>
      </c>
      <c r="AD89" s="77">
        <v>370.40601256825209</v>
      </c>
      <c r="AE89" s="77">
        <v>324.10526099722057</v>
      </c>
      <c r="AF89" s="77">
        <v>329.99901099722058</v>
      </c>
      <c r="AG89" s="77">
        <v>254.79567504550135</v>
      </c>
      <c r="AH89" s="77">
        <v>386.31140110802278</v>
      </c>
      <c r="AI89" s="77">
        <v>471.43201466296068</v>
      </c>
      <c r="AJ89" s="77">
        <v>127.39783752275068</v>
      </c>
      <c r="AK89" s="77">
        <v>73.33311355493791</v>
      </c>
      <c r="AL89" s="77">
        <v>30.867167714021004</v>
      </c>
      <c r="AM89" s="77">
        <v>0</v>
      </c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>
        <v>4157.6849059818833</v>
      </c>
      <c r="AZ89" s="60">
        <f>SUH!$Y$11*SUH!$Y$15</f>
        <v>15.757379999999998</v>
      </c>
      <c r="BA89" s="57">
        <f t="shared" si="26"/>
        <v>4173.4422859818833</v>
      </c>
      <c r="BB89" s="89"/>
    </row>
    <row r="90" spans="1:54">
      <c r="A90" s="57">
        <f>'24hr SPS'!A90</f>
        <v>37</v>
      </c>
      <c r="B90" s="57"/>
      <c r="C90" s="77"/>
      <c r="D90" s="77"/>
      <c r="E90" s="77"/>
      <c r="F90" s="77"/>
      <c r="G90" s="77">
        <v>0</v>
      </c>
      <c r="H90" s="77">
        <v>0.41632776140186789</v>
      </c>
      <c r="I90" s="77">
        <v>1.3258126609820482</v>
      </c>
      <c r="J90" s="77">
        <v>6.4271332350778723</v>
      </c>
      <c r="K90" s="77">
        <v>15.473710914600201</v>
      </c>
      <c r="L90" s="77">
        <v>3.3145316524551141</v>
      </c>
      <c r="M90" s="77">
        <v>2.4979665684112033</v>
      </c>
      <c r="N90" s="77">
        <v>1.1882443461889789</v>
      </c>
      <c r="O90" s="77">
        <v>18.121949110458672</v>
      </c>
      <c r="P90" s="77">
        <v>26.822131299119203</v>
      </c>
      <c r="Q90" s="77">
        <v>29.802368110132452</v>
      </c>
      <c r="R90" s="77">
        <v>32.782604921145698</v>
      </c>
      <c r="S90" s="77">
        <v>35.76284173215894</v>
      </c>
      <c r="T90" s="77">
        <v>48.037989781849042</v>
      </c>
      <c r="U90" s="77">
        <v>61.74312417595096</v>
      </c>
      <c r="V90" s="77">
        <v>130.50273282990804</v>
      </c>
      <c r="W90" s="77">
        <v>219.28215030563064</v>
      </c>
      <c r="X90" s="77">
        <v>74.973793642226155</v>
      </c>
      <c r="Y90" s="77">
        <v>66.514139697944813</v>
      </c>
      <c r="Z90" s="77">
        <v>62.584973031278139</v>
      </c>
      <c r="AA90" s="77">
        <v>200.54222920458449</v>
      </c>
      <c r="AB90" s="77">
        <v>277.8045094261891</v>
      </c>
      <c r="AC90" s="77">
        <v>308.67167714021008</v>
      </c>
      <c r="AD90" s="77">
        <v>339.53884485423112</v>
      </c>
      <c r="AE90" s="77">
        <v>370.40601256825209</v>
      </c>
      <c r="AF90" s="77">
        <v>384.99884616342399</v>
      </c>
      <c r="AG90" s="77">
        <v>382.193512568252</v>
      </c>
      <c r="AH90" s="77">
        <v>463.57368132962739</v>
      </c>
      <c r="AI90" s="77">
        <v>589.29001832870074</v>
      </c>
      <c r="AJ90" s="77">
        <v>169.86378336366755</v>
      </c>
      <c r="AK90" s="77">
        <v>109.99967033240686</v>
      </c>
      <c r="AL90" s="77">
        <v>61.734335428042009</v>
      </c>
      <c r="AM90" s="77">
        <v>6.0709641908379757</v>
      </c>
      <c r="AN90" s="77">
        <v>0</v>
      </c>
      <c r="AO90" s="77"/>
      <c r="AP90" s="77"/>
      <c r="AQ90" s="77"/>
      <c r="AR90" s="77"/>
      <c r="AS90" s="77"/>
      <c r="AT90" s="77"/>
      <c r="AU90" s="77"/>
      <c r="AV90" s="77"/>
      <c r="AW90" s="77"/>
      <c r="AX90" s="77"/>
      <c r="AY90">
        <v>4502.262610675346</v>
      </c>
      <c r="AZ90" s="60">
        <f>SUH!$Y$11*SUH!$Y$15</f>
        <v>15.757379999999998</v>
      </c>
      <c r="BA90" s="57">
        <f t="shared" si="26"/>
        <v>4518.019990675346</v>
      </c>
      <c r="BB90" s="89"/>
    </row>
    <row r="91" spans="1:54">
      <c r="A91" s="57">
        <f>'24hr SPS'!A91</f>
        <v>38</v>
      </c>
      <c r="B91" s="57"/>
      <c r="C91" s="77"/>
      <c r="D91" s="77"/>
      <c r="E91" s="77"/>
      <c r="F91" s="77"/>
      <c r="G91" s="77"/>
      <c r="H91" s="77">
        <v>0</v>
      </c>
      <c r="I91" s="77">
        <v>0.6629063304910241</v>
      </c>
      <c r="J91" s="77">
        <v>4.2847554900519222</v>
      </c>
      <c r="K91" s="77">
        <v>11.605283185950146</v>
      </c>
      <c r="L91" s="77">
        <v>2.6516253219640933</v>
      </c>
      <c r="M91" s="77">
        <v>2.0816388070093352</v>
      </c>
      <c r="N91" s="77">
        <v>1.0184951538762681</v>
      </c>
      <c r="O91" s="77">
        <v>15.856705471651335</v>
      </c>
      <c r="P91" s="77">
        <v>23.841894488105964</v>
      </c>
      <c r="Q91" s="77">
        <v>26.822131299119203</v>
      </c>
      <c r="R91" s="77">
        <v>29.802368110132452</v>
      </c>
      <c r="S91" s="77">
        <v>32.782604921145698</v>
      </c>
      <c r="T91" s="77">
        <v>44.342759798629878</v>
      </c>
      <c r="U91" s="77">
        <v>57.332901020525895</v>
      </c>
      <c r="V91" s="77">
        <v>121.80255064124751</v>
      </c>
      <c r="W91" s="77">
        <v>205.57701591152875</v>
      </c>
      <c r="X91" s="77">
        <v>70.563570486801098</v>
      </c>
      <c r="Y91" s="77">
        <v>62.818909714725663</v>
      </c>
      <c r="Z91" s="77">
        <v>53.644262598238413</v>
      </c>
      <c r="AA91" s="77">
        <v>175.47445055401141</v>
      </c>
      <c r="AB91" s="77">
        <v>246.93734171216809</v>
      </c>
      <c r="AC91" s="77">
        <v>277.8045094261891</v>
      </c>
      <c r="AD91" s="77">
        <v>308.67167714021008</v>
      </c>
      <c r="AE91" s="77">
        <v>339.53884485423112</v>
      </c>
      <c r="AF91" s="77">
        <v>439.99868132962746</v>
      </c>
      <c r="AG91" s="77">
        <v>445.89243132962736</v>
      </c>
      <c r="AH91" s="77">
        <v>695.36052199444111</v>
      </c>
      <c r="AI91" s="77">
        <v>707.14802199444102</v>
      </c>
      <c r="AJ91" s="77">
        <v>212.32972920458442</v>
      </c>
      <c r="AK91" s="77">
        <v>146.66622710987582</v>
      </c>
      <c r="AL91" s="77">
        <v>92.601503142063024</v>
      </c>
      <c r="AM91" s="77">
        <v>12.141928381675951</v>
      </c>
      <c r="AN91" s="77">
        <v>8.0709903623389057</v>
      </c>
      <c r="AO91" s="77">
        <v>0</v>
      </c>
      <c r="AP91" s="77"/>
      <c r="AQ91" s="77"/>
      <c r="AR91" s="77"/>
      <c r="AS91" s="77"/>
      <c r="AT91" s="77"/>
      <c r="AU91" s="77"/>
      <c r="AV91" s="77"/>
      <c r="AW91" s="77"/>
      <c r="AX91" s="77"/>
      <c r="AY91">
        <v>4876.1292372866792</v>
      </c>
      <c r="AZ91" s="60">
        <f>SUH!$Y$11*SUH!$Y$15</f>
        <v>15.757379999999998</v>
      </c>
      <c r="BA91" s="57">
        <f t="shared" si="26"/>
        <v>4891.8866172866792</v>
      </c>
      <c r="BB91" s="89"/>
    </row>
    <row r="92" spans="1:54">
      <c r="A92" s="57">
        <f>'24hr SPS'!A92</f>
        <v>39</v>
      </c>
      <c r="B92" s="57"/>
      <c r="C92" s="77"/>
      <c r="D92" s="77"/>
      <c r="E92" s="77"/>
      <c r="F92" s="77"/>
      <c r="G92" s="77"/>
      <c r="H92" s="77"/>
      <c r="I92" s="77">
        <v>0</v>
      </c>
      <c r="J92" s="77">
        <v>2.1423777450259611</v>
      </c>
      <c r="K92" s="77">
        <v>7.73685545730011</v>
      </c>
      <c r="L92" s="77">
        <v>1.9887189914730692</v>
      </c>
      <c r="M92" s="77">
        <v>1.6653110456074696</v>
      </c>
      <c r="N92" s="77">
        <v>0.84874596156355653</v>
      </c>
      <c r="O92" s="77">
        <v>13.591461832844008</v>
      </c>
      <c r="P92" s="77">
        <v>20.861657677092715</v>
      </c>
      <c r="Q92" s="77">
        <v>23.841894488105964</v>
      </c>
      <c r="R92" s="77">
        <v>26.822131299119203</v>
      </c>
      <c r="S92" s="77">
        <v>29.802368110132452</v>
      </c>
      <c r="T92" s="77">
        <v>40.647529815410721</v>
      </c>
      <c r="U92" s="77">
        <v>52.922677865100816</v>
      </c>
      <c r="V92" s="77">
        <v>113.10236845258697</v>
      </c>
      <c r="W92" s="77">
        <v>191.87188151742683</v>
      </c>
      <c r="X92" s="77">
        <v>66.153347331376025</v>
      </c>
      <c r="Y92" s="77">
        <v>59.123679731506506</v>
      </c>
      <c r="Z92" s="77">
        <v>50.664025787225164</v>
      </c>
      <c r="AA92" s="77">
        <v>150.40667190343837</v>
      </c>
      <c r="AB92" s="77">
        <v>216.07017399814708</v>
      </c>
      <c r="AC92" s="77">
        <v>246.93734171216809</v>
      </c>
      <c r="AD92" s="77">
        <v>277.8045094261891</v>
      </c>
      <c r="AE92" s="77">
        <v>308.67167714021008</v>
      </c>
      <c r="AF92" s="77">
        <v>403.33212455215852</v>
      </c>
      <c r="AG92" s="77">
        <v>509.59135009100271</v>
      </c>
      <c r="AH92" s="77">
        <v>811.253942326848</v>
      </c>
      <c r="AI92" s="77">
        <v>1060.7220329916615</v>
      </c>
      <c r="AJ92" s="77">
        <v>254.79567504550135</v>
      </c>
      <c r="AK92" s="77">
        <v>183.33278388734476</v>
      </c>
      <c r="AL92" s="77">
        <v>123.46867085608402</v>
      </c>
      <c r="AM92" s="77">
        <v>18.21289257251393</v>
      </c>
      <c r="AN92" s="77">
        <v>16.141980724677811</v>
      </c>
      <c r="AO92" s="77">
        <v>8.0709903623389057</v>
      </c>
      <c r="AP92" s="77">
        <v>0</v>
      </c>
      <c r="AQ92" s="77"/>
      <c r="AR92" s="77"/>
      <c r="AS92" s="77"/>
      <c r="AT92" s="77"/>
      <c r="AU92" s="77"/>
      <c r="AV92" s="77"/>
      <c r="AW92" s="77"/>
      <c r="AX92" s="77"/>
      <c r="AY92">
        <v>5292.5998506991818</v>
      </c>
      <c r="AZ92" s="60">
        <f>SUH!$Y$11*SUH!$Y$15</f>
        <v>15.757379999999998</v>
      </c>
      <c r="BA92" s="57">
        <f t="shared" si="26"/>
        <v>5308.3572306991819</v>
      </c>
      <c r="BB92" s="89"/>
    </row>
    <row r="93" spans="1:54">
      <c r="A93" s="57">
        <f>'24hr SPS'!A93</f>
        <v>40</v>
      </c>
      <c r="B93" s="57"/>
      <c r="C93" s="77"/>
      <c r="D93" s="77"/>
      <c r="E93" s="77"/>
      <c r="F93" s="77"/>
      <c r="G93" s="77"/>
      <c r="H93" s="77"/>
      <c r="I93" s="77"/>
      <c r="J93" s="77">
        <v>0</v>
      </c>
      <c r="K93" s="77">
        <v>3.868427728650055</v>
      </c>
      <c r="L93" s="77">
        <v>1.3258126609820482</v>
      </c>
      <c r="M93" s="77">
        <v>1.2489832842056017</v>
      </c>
      <c r="N93" s="77">
        <v>0.67899676925084573</v>
      </c>
      <c r="O93" s="77">
        <v>11.326218194036668</v>
      </c>
      <c r="P93" s="77">
        <v>17.881420866079477</v>
      </c>
      <c r="Q93" s="77">
        <v>20.861657677092715</v>
      </c>
      <c r="R93" s="77">
        <v>23.841894488105964</v>
      </c>
      <c r="S93" s="77">
        <v>26.822131299119203</v>
      </c>
      <c r="T93" s="77">
        <v>36.952299832191571</v>
      </c>
      <c r="U93" s="77">
        <v>48.512454709675751</v>
      </c>
      <c r="V93" s="77">
        <v>104.40218626392642</v>
      </c>
      <c r="W93" s="77">
        <v>178.16674712332491</v>
      </c>
      <c r="X93" s="77">
        <v>61.74312417595096</v>
      </c>
      <c r="Y93" s="77">
        <v>55.428449748287349</v>
      </c>
      <c r="Z93" s="77">
        <v>47.683788976211922</v>
      </c>
      <c r="AA93" s="77">
        <v>142.05074568658068</v>
      </c>
      <c r="AB93" s="77">
        <v>185.20300628412608</v>
      </c>
      <c r="AC93" s="77">
        <v>216.07017399814708</v>
      </c>
      <c r="AD93" s="77">
        <v>246.93734171216809</v>
      </c>
      <c r="AE93" s="77">
        <v>277.8045094261891</v>
      </c>
      <c r="AF93" s="77">
        <v>366.66556777468958</v>
      </c>
      <c r="AG93" s="77">
        <v>467.12540425008586</v>
      </c>
      <c r="AH93" s="77">
        <v>927.14736265925478</v>
      </c>
      <c r="AI93" s="77">
        <v>1237.5090384902719</v>
      </c>
      <c r="AJ93" s="77">
        <v>382.193512568252</v>
      </c>
      <c r="AK93" s="77">
        <v>219.99934066481373</v>
      </c>
      <c r="AL93" s="77">
        <v>154.33583857010501</v>
      </c>
      <c r="AM93" s="77">
        <v>24.283856763351903</v>
      </c>
      <c r="AN93" s="77">
        <v>24.212971087016715</v>
      </c>
      <c r="AO93" s="77">
        <v>16.141980724677811</v>
      </c>
      <c r="AP93" s="77">
        <v>8.0709903623389057</v>
      </c>
      <c r="AQ93" s="77">
        <v>0</v>
      </c>
      <c r="AR93" s="77"/>
      <c r="AS93" s="77"/>
      <c r="AT93" s="77"/>
      <c r="AU93" s="77"/>
      <c r="AV93" s="77"/>
      <c r="AW93" s="77"/>
      <c r="AX93" s="77"/>
      <c r="AY93">
        <v>5536.4962348191602</v>
      </c>
      <c r="AZ93" s="60">
        <f>SUH!$Y$11*SUH!$Y$15</f>
        <v>15.757379999999998</v>
      </c>
      <c r="BA93" s="57">
        <f t="shared" si="26"/>
        <v>5552.2536148191602</v>
      </c>
      <c r="BB93" s="89"/>
    </row>
    <row r="94" spans="1:54">
      <c r="A94" s="57">
        <f>'24hr SPS'!A94</f>
        <v>41</v>
      </c>
      <c r="B94" s="57"/>
      <c r="C94" s="77"/>
      <c r="D94" s="77"/>
      <c r="E94" s="77"/>
      <c r="F94" s="77"/>
      <c r="G94" s="77"/>
      <c r="H94" s="77"/>
      <c r="I94" s="77"/>
      <c r="J94" s="77"/>
      <c r="K94" s="77">
        <v>0</v>
      </c>
      <c r="L94" s="77">
        <v>0.6629063304910241</v>
      </c>
      <c r="M94" s="77">
        <v>0.83265552280373578</v>
      </c>
      <c r="N94" s="77">
        <v>0.50924757693813405</v>
      </c>
      <c r="O94" s="77">
        <v>9.0609745552293415</v>
      </c>
      <c r="P94" s="77">
        <v>14.901184055066226</v>
      </c>
      <c r="Q94" s="77">
        <v>17.881420866079477</v>
      </c>
      <c r="R94" s="77">
        <v>20.861657677092715</v>
      </c>
      <c r="S94" s="77">
        <v>23.841894488105964</v>
      </c>
      <c r="T94" s="77">
        <v>33.257069848972407</v>
      </c>
      <c r="U94" s="77">
        <v>44.102231554250686</v>
      </c>
      <c r="V94" s="77">
        <v>95.70200407526589</v>
      </c>
      <c r="W94" s="77">
        <v>164.46161272922296</v>
      </c>
      <c r="X94" s="77">
        <v>57.332901020525895</v>
      </c>
      <c r="Y94" s="77">
        <v>51.733219765068199</v>
      </c>
      <c r="Z94" s="77">
        <v>44.70355216519868</v>
      </c>
      <c r="AA94" s="77">
        <v>133.694819469723</v>
      </c>
      <c r="AB94" s="77">
        <v>174.91395037945242</v>
      </c>
      <c r="AC94" s="77">
        <v>185.20300628412608</v>
      </c>
      <c r="AD94" s="77">
        <v>216.07017399814708</v>
      </c>
      <c r="AE94" s="77">
        <v>246.93734171216809</v>
      </c>
      <c r="AF94" s="77">
        <v>329.99901099722058</v>
      </c>
      <c r="AG94" s="77">
        <v>424.65945840916896</v>
      </c>
      <c r="AH94" s="77">
        <v>849.88508243765034</v>
      </c>
      <c r="AI94" s="77">
        <v>1414.296043988882</v>
      </c>
      <c r="AJ94" s="77">
        <v>445.89243132962736</v>
      </c>
      <c r="AK94" s="77">
        <v>329.99901099722058</v>
      </c>
      <c r="AL94" s="77">
        <v>185.20300628412605</v>
      </c>
      <c r="AM94" s="77">
        <v>30.354820954189879</v>
      </c>
      <c r="AN94" s="77">
        <v>32.283961449355623</v>
      </c>
      <c r="AO94" s="77">
        <v>24.212971087016715</v>
      </c>
      <c r="AP94" s="77">
        <v>16.141980724677811</v>
      </c>
      <c r="AQ94" s="77">
        <v>8.0709903623389057</v>
      </c>
      <c r="AR94" s="77">
        <v>0</v>
      </c>
      <c r="AS94" s="77"/>
      <c r="AT94" s="77"/>
      <c r="AU94" s="77"/>
      <c r="AV94" s="77"/>
      <c r="AW94" s="77"/>
      <c r="AX94" s="77"/>
      <c r="AY94" s="94">
        <v>5627.6625930954033</v>
      </c>
      <c r="AZ94" s="60">
        <f>SUH!$Y$11*SUH!$Y$15</f>
        <v>15.757379999999998</v>
      </c>
      <c r="BA94" s="57">
        <f t="shared" si="26"/>
        <v>5643.4199730954033</v>
      </c>
      <c r="BB94" s="89"/>
    </row>
    <row r="95" spans="1:54">
      <c r="A95" s="57">
        <f>'24hr SPS'!A95</f>
        <v>42</v>
      </c>
      <c r="B95" s="57"/>
      <c r="C95" s="77"/>
      <c r="D95" s="77"/>
      <c r="E95" s="77"/>
      <c r="F95" s="77"/>
      <c r="G95" s="77"/>
      <c r="H95" s="77"/>
      <c r="I95" s="77"/>
      <c r="J95" s="77"/>
      <c r="K95" s="77"/>
      <c r="L95" s="77">
        <v>0</v>
      </c>
      <c r="M95" s="77">
        <v>0.41632776140186789</v>
      </c>
      <c r="N95" s="77">
        <v>0.33949838462542331</v>
      </c>
      <c r="O95" s="77">
        <v>6.7957309164220039</v>
      </c>
      <c r="P95" s="77">
        <v>11.920947244052989</v>
      </c>
      <c r="Q95" s="77">
        <v>14.901184055066226</v>
      </c>
      <c r="R95" s="77">
        <v>17.881420866079477</v>
      </c>
      <c r="S95" s="77">
        <v>20.861657677092715</v>
      </c>
      <c r="T95" s="77">
        <v>29.561839865753257</v>
      </c>
      <c r="U95" s="77">
        <v>39.692008398825607</v>
      </c>
      <c r="V95" s="77">
        <v>87.001821886605356</v>
      </c>
      <c r="W95" s="77">
        <v>150.75647833512107</v>
      </c>
      <c r="X95" s="77">
        <v>52.922677865100816</v>
      </c>
      <c r="Y95" s="77">
        <v>48.037989781849042</v>
      </c>
      <c r="Z95" s="77">
        <v>41.723315354185438</v>
      </c>
      <c r="AA95" s="77">
        <v>125.33889325286532</v>
      </c>
      <c r="AB95" s="77">
        <v>164.62489447477873</v>
      </c>
      <c r="AC95" s="77">
        <v>174.91395037945242</v>
      </c>
      <c r="AD95" s="77">
        <v>185.20300628412608</v>
      </c>
      <c r="AE95" s="77">
        <v>216.07017399814708</v>
      </c>
      <c r="AF95" s="77">
        <v>293.3324542197517</v>
      </c>
      <c r="AG95" s="77">
        <v>382.193512568252</v>
      </c>
      <c r="AH95" s="77">
        <v>772.62280221604567</v>
      </c>
      <c r="AI95" s="77">
        <v>1296.4380403231421</v>
      </c>
      <c r="AJ95" s="77">
        <v>509.59135009100271</v>
      </c>
      <c r="AK95" s="77">
        <v>384.99884616342399</v>
      </c>
      <c r="AL95" s="77">
        <v>277.8045094261891</v>
      </c>
      <c r="AM95" s="77">
        <v>36.425785145027859</v>
      </c>
      <c r="AN95" s="77">
        <v>40.354951811694519</v>
      </c>
      <c r="AO95" s="77">
        <v>32.283961449355623</v>
      </c>
      <c r="AP95" s="77">
        <v>24.212971087016715</v>
      </c>
      <c r="AQ95" s="77">
        <v>16.141980724677811</v>
      </c>
      <c r="AR95" s="77">
        <v>10.071016533839833</v>
      </c>
      <c r="AS95" s="77">
        <v>0</v>
      </c>
      <c r="AT95" s="77"/>
      <c r="AU95" s="77"/>
      <c r="AV95" s="77"/>
      <c r="AW95" s="77"/>
      <c r="AX95" s="77"/>
      <c r="AY95">
        <v>5465.4359985409701</v>
      </c>
      <c r="AZ95" s="60">
        <f>SUH!$Y$11*SUH!$Y$15</f>
        <v>15.757379999999998</v>
      </c>
      <c r="BA95" s="57">
        <f t="shared" si="26"/>
        <v>5481.1933785409701</v>
      </c>
      <c r="BB95" s="89"/>
    </row>
    <row r="96" spans="1:54">
      <c r="A96" s="57">
        <f>'24hr SPS'!A96</f>
        <v>43</v>
      </c>
      <c r="B96" s="5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>
        <v>0</v>
      </c>
      <c r="N96" s="77">
        <v>0.16974919231271166</v>
      </c>
      <c r="O96" s="77">
        <v>4.530487277614677</v>
      </c>
      <c r="P96" s="77">
        <v>8.9407104330397384</v>
      </c>
      <c r="Q96" s="77">
        <v>11.920947244052989</v>
      </c>
      <c r="R96" s="77">
        <v>14.901184055066226</v>
      </c>
      <c r="S96" s="77">
        <v>17.881420866079477</v>
      </c>
      <c r="T96" s="77">
        <v>25.866609882534092</v>
      </c>
      <c r="U96" s="77">
        <v>35.281785243400549</v>
      </c>
      <c r="V96" s="77">
        <v>78.301639697944807</v>
      </c>
      <c r="W96" s="77">
        <v>137.05134394101916</v>
      </c>
      <c r="X96" s="77">
        <v>48.512454709675751</v>
      </c>
      <c r="Y96" s="77">
        <v>44.342759798629878</v>
      </c>
      <c r="Z96" s="77">
        <v>38.743078543172189</v>
      </c>
      <c r="AA96" s="77">
        <v>116.98296703600764</v>
      </c>
      <c r="AB96" s="77">
        <v>154.33583857010507</v>
      </c>
      <c r="AC96" s="77">
        <v>164.62489447477873</v>
      </c>
      <c r="AD96" s="77">
        <v>174.91395037945242</v>
      </c>
      <c r="AE96" s="77">
        <v>185.20300628412608</v>
      </c>
      <c r="AF96" s="77">
        <v>256.6658974422827</v>
      </c>
      <c r="AG96" s="77">
        <v>339.72756672733516</v>
      </c>
      <c r="AH96" s="77">
        <v>695.36052199444111</v>
      </c>
      <c r="AI96" s="77">
        <v>1178.5800366574017</v>
      </c>
      <c r="AJ96" s="77">
        <v>467.12540425008586</v>
      </c>
      <c r="AK96" s="77">
        <v>439.99868132962746</v>
      </c>
      <c r="AL96" s="77">
        <v>324.10526099722057</v>
      </c>
      <c r="AM96" s="77">
        <v>54.638677717541789</v>
      </c>
      <c r="AN96" s="77">
        <v>48.42594217403343</v>
      </c>
      <c r="AO96" s="77">
        <v>40.354951811694519</v>
      </c>
      <c r="AP96" s="77">
        <v>32.283961449355623</v>
      </c>
      <c r="AQ96" s="77">
        <v>24.212971087016715</v>
      </c>
      <c r="AR96" s="77">
        <v>20.142033067679666</v>
      </c>
      <c r="AS96" s="77">
        <v>12.071042705340762</v>
      </c>
      <c r="AT96" s="77">
        <v>0</v>
      </c>
      <c r="AU96" s="77"/>
      <c r="AV96" s="77"/>
      <c r="AW96" s="77"/>
      <c r="AX96" s="77"/>
      <c r="AY96">
        <v>5196.197777040069</v>
      </c>
      <c r="AZ96" s="60">
        <f>SUH!$Y$11*SUH!$Y$15</f>
        <v>15.757379999999998</v>
      </c>
      <c r="BA96" s="57">
        <f t="shared" si="26"/>
        <v>5211.955157040069</v>
      </c>
      <c r="BB96" s="89"/>
    </row>
    <row r="97" spans="1:54">
      <c r="A97" s="57">
        <f>'24hr SPS'!A97</f>
        <v>44</v>
      </c>
      <c r="B97" s="5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>
        <v>0</v>
      </c>
      <c r="O97" s="77">
        <v>2.2652436388073385</v>
      </c>
      <c r="P97" s="77">
        <v>5.9604736220265027</v>
      </c>
      <c r="Q97" s="77">
        <v>8.9407104330397384</v>
      </c>
      <c r="R97" s="77">
        <v>11.920947244052989</v>
      </c>
      <c r="S97" s="77">
        <v>14.901184055066226</v>
      </c>
      <c r="T97" s="77">
        <v>22.17137989931495</v>
      </c>
      <c r="U97" s="77">
        <v>30.871562087975473</v>
      </c>
      <c r="V97" s="77">
        <v>69.601457509284302</v>
      </c>
      <c r="W97" s="77">
        <v>123.34620954691721</v>
      </c>
      <c r="X97" s="77">
        <v>44.102231554250686</v>
      </c>
      <c r="Y97" s="77">
        <v>40.647529815410721</v>
      </c>
      <c r="Z97" s="77">
        <v>35.76284173215894</v>
      </c>
      <c r="AA97" s="77">
        <v>108.62704081914995</v>
      </c>
      <c r="AB97" s="77">
        <v>144.04678266543141</v>
      </c>
      <c r="AC97" s="77">
        <v>154.33583857010507</v>
      </c>
      <c r="AD97" s="77">
        <v>164.62489447477873</v>
      </c>
      <c r="AE97" s="77">
        <v>174.91395037945242</v>
      </c>
      <c r="AF97" s="77">
        <v>219.99934066481376</v>
      </c>
      <c r="AG97" s="77">
        <v>297.26162088641826</v>
      </c>
      <c r="AH97" s="77">
        <v>618.09824177283667</v>
      </c>
      <c r="AI97" s="77">
        <v>1060.7220329916615</v>
      </c>
      <c r="AJ97" s="77">
        <v>424.65945840916896</v>
      </c>
      <c r="AK97" s="77">
        <v>403.33212455215852</v>
      </c>
      <c r="AL97" s="77">
        <v>370.40601256825209</v>
      </c>
      <c r="AM97" s="77">
        <v>63.74512400379875</v>
      </c>
      <c r="AN97" s="77">
        <v>72.638913261050149</v>
      </c>
      <c r="AO97" s="77">
        <v>48.42594217403343</v>
      </c>
      <c r="AP97" s="77">
        <v>40.354951811694519</v>
      </c>
      <c r="AQ97" s="77">
        <v>32.283961449355623</v>
      </c>
      <c r="AR97" s="77">
        <v>30.213049601519504</v>
      </c>
      <c r="AS97" s="77">
        <v>24.142085410681524</v>
      </c>
      <c r="AT97" s="77">
        <v>24.071199734346333</v>
      </c>
      <c r="AU97" s="77">
        <v>0</v>
      </c>
      <c r="AV97" s="77"/>
      <c r="AW97" s="77"/>
      <c r="AX97" s="77"/>
      <c r="AY97">
        <v>4887.394337339013</v>
      </c>
      <c r="AZ97" s="60">
        <f>SUH!$Y$11*SUH!$Y$15</f>
        <v>15.757379999999998</v>
      </c>
      <c r="BA97" s="57">
        <f t="shared" si="26"/>
        <v>4903.151717339013</v>
      </c>
      <c r="BB97" s="89"/>
    </row>
    <row r="98" spans="1:54">
      <c r="A98" s="57">
        <f>'24hr SPS'!A98</f>
        <v>45</v>
      </c>
      <c r="B98" s="5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>
        <v>0</v>
      </c>
      <c r="P98" s="77">
        <v>2.9802368110132513</v>
      </c>
      <c r="Q98" s="77">
        <v>5.9604736220265027</v>
      </c>
      <c r="R98" s="77">
        <v>8.9407104330397384</v>
      </c>
      <c r="S98" s="77">
        <v>11.920947244052989</v>
      </c>
      <c r="T98" s="77">
        <v>18.476149916095785</v>
      </c>
      <c r="U98" s="77">
        <v>26.461338932550419</v>
      </c>
      <c r="V98" s="77">
        <v>60.901275320623746</v>
      </c>
      <c r="W98" s="77">
        <v>109.64107515281535</v>
      </c>
      <c r="X98" s="77">
        <v>39.692008398825607</v>
      </c>
      <c r="Y98" s="77">
        <v>36.952299832191571</v>
      </c>
      <c r="Z98" s="77">
        <v>32.782604921145698</v>
      </c>
      <c r="AA98" s="77">
        <v>100.27111460229224</v>
      </c>
      <c r="AB98" s="77">
        <v>133.75772676075775</v>
      </c>
      <c r="AC98" s="77">
        <v>144.04678266543141</v>
      </c>
      <c r="AD98" s="77">
        <v>154.33583857010507</v>
      </c>
      <c r="AE98" s="77">
        <v>164.62489447477873</v>
      </c>
      <c r="AF98" s="77">
        <v>207.77715507232412</v>
      </c>
      <c r="AG98" s="77">
        <v>254.79567504550138</v>
      </c>
      <c r="AH98" s="77">
        <v>540.835961551232</v>
      </c>
      <c r="AI98" s="77">
        <v>942.86402932592148</v>
      </c>
      <c r="AJ98" s="77">
        <v>382.193512568252</v>
      </c>
      <c r="AK98" s="77">
        <v>366.66556777468958</v>
      </c>
      <c r="AL98" s="77">
        <v>339.53884485423112</v>
      </c>
      <c r="AM98" s="77">
        <v>72.851570290055719</v>
      </c>
      <c r="AN98" s="77">
        <v>84.745398804558505</v>
      </c>
      <c r="AO98" s="77">
        <v>72.638913261050149</v>
      </c>
      <c r="AP98" s="77">
        <v>48.42594217403343</v>
      </c>
      <c r="AQ98" s="77">
        <v>40.354951811694519</v>
      </c>
      <c r="AR98" s="77">
        <v>40.284066135359332</v>
      </c>
      <c r="AS98" s="77">
        <v>36.21312811602229</v>
      </c>
      <c r="AT98" s="77">
        <v>48.142399468692666</v>
      </c>
      <c r="AU98" s="77">
        <v>38.071382934852828</v>
      </c>
      <c r="AV98" s="77">
        <v>0</v>
      </c>
      <c r="AW98" s="77"/>
      <c r="AX98" s="77"/>
      <c r="AY98">
        <v>4568.1439768462169</v>
      </c>
      <c r="AZ98" s="60">
        <f>SUH!$Y$11*SUH!$Y$15</f>
        <v>15.757379999999998</v>
      </c>
      <c r="BA98" s="57">
        <f t="shared" si="26"/>
        <v>4583.9013568462169</v>
      </c>
      <c r="BB98" s="89"/>
    </row>
    <row r="99" spans="1:54">
      <c r="A99" s="57">
        <f>'24hr SPS'!A99</f>
        <v>46</v>
      </c>
      <c r="B99" s="5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>
        <v>0</v>
      </c>
      <c r="Q99" s="77">
        <v>2.9802368110132513</v>
      </c>
      <c r="R99" s="77">
        <v>5.9604736220265027</v>
      </c>
      <c r="S99" s="77">
        <v>8.9407104330397384</v>
      </c>
      <c r="T99" s="77">
        <v>14.780919932876639</v>
      </c>
      <c r="U99" s="77">
        <v>22.051115777125343</v>
      </c>
      <c r="V99" s="77">
        <v>52.201093131963233</v>
      </c>
      <c r="W99" s="77">
        <v>95.9359407587134</v>
      </c>
      <c r="X99" s="77">
        <v>35.281785243400549</v>
      </c>
      <c r="Y99" s="77">
        <v>33.257069848972407</v>
      </c>
      <c r="Z99" s="77">
        <v>29.802368110132452</v>
      </c>
      <c r="AA99" s="77">
        <v>91.915188385434561</v>
      </c>
      <c r="AB99" s="77">
        <v>123.46867085608405</v>
      </c>
      <c r="AC99" s="77">
        <v>133.75772676075775</v>
      </c>
      <c r="AD99" s="77">
        <v>144.04678266543141</v>
      </c>
      <c r="AE99" s="77">
        <v>154.33583857010507</v>
      </c>
      <c r="AF99" s="77">
        <v>195.55496947983445</v>
      </c>
      <c r="AG99" s="77">
        <v>240.64035976519577</v>
      </c>
      <c r="AH99" s="77">
        <v>463.57368132962745</v>
      </c>
      <c r="AI99" s="77">
        <v>825.00602566018131</v>
      </c>
      <c r="AJ99" s="77">
        <v>339.72756672733516</v>
      </c>
      <c r="AK99" s="77">
        <v>329.99901099722058</v>
      </c>
      <c r="AL99" s="77">
        <v>308.67167714021008</v>
      </c>
      <c r="AM99" s="77">
        <v>66.780606099217749</v>
      </c>
      <c r="AN99" s="77">
        <v>96.851884348066861</v>
      </c>
      <c r="AO99" s="77">
        <v>84.745398804558505</v>
      </c>
      <c r="AP99" s="77">
        <v>72.638913261050149</v>
      </c>
      <c r="AQ99" s="77">
        <v>48.42594217403343</v>
      </c>
      <c r="AR99" s="77">
        <v>50.355082669199163</v>
      </c>
      <c r="AS99" s="77">
        <v>48.284170821363048</v>
      </c>
      <c r="AT99" s="77">
        <v>72.21359920303901</v>
      </c>
      <c r="AU99" s="77">
        <v>76.142765869705656</v>
      </c>
      <c r="AV99" s="77">
        <v>12.071042705340762</v>
      </c>
      <c r="AW99" s="77">
        <v>0</v>
      </c>
      <c r="AX99" s="77"/>
      <c r="AY99">
        <v>4280.3986179622561</v>
      </c>
      <c r="AZ99" s="60">
        <f>SUH!$Y$11*SUH!$Y$15</f>
        <v>15.757379999999998</v>
      </c>
      <c r="BA99" s="57">
        <f t="shared" si="26"/>
        <v>4296.1559979622562</v>
      </c>
      <c r="BB99" s="89"/>
    </row>
    <row r="100" spans="1:54">
      <c r="A100" s="57">
        <f>'24hr SPS'!A100</f>
        <v>47</v>
      </c>
      <c r="B100" s="5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>
        <v>0</v>
      </c>
      <c r="R100" s="77">
        <v>2.9802368110132513</v>
      </c>
      <c r="S100" s="77">
        <v>5.9604736220265027</v>
      </c>
      <c r="T100" s="77">
        <v>11.085689949657475</v>
      </c>
      <c r="U100" s="77">
        <v>17.640892621700285</v>
      </c>
      <c r="V100" s="77">
        <v>43.500910943302678</v>
      </c>
      <c r="W100" s="77">
        <v>82.230806364611524</v>
      </c>
      <c r="X100" s="77">
        <v>30.871562087975473</v>
      </c>
      <c r="Y100" s="77">
        <v>29.561839865753257</v>
      </c>
      <c r="Z100" s="77">
        <v>26.822131299119203</v>
      </c>
      <c r="AA100" s="77">
        <v>83.559262168576879</v>
      </c>
      <c r="AB100" s="77">
        <v>113.17961495141039</v>
      </c>
      <c r="AC100" s="77">
        <v>123.46867085608405</v>
      </c>
      <c r="AD100" s="77">
        <v>133.75772676075775</v>
      </c>
      <c r="AE100" s="77">
        <v>144.04678266543141</v>
      </c>
      <c r="AF100" s="77">
        <v>183.33278388734482</v>
      </c>
      <c r="AG100" s="77">
        <v>226.48504448489012</v>
      </c>
      <c r="AH100" s="77">
        <v>437.81958792242597</v>
      </c>
      <c r="AI100" s="77">
        <v>707.14802199444114</v>
      </c>
      <c r="AJ100" s="77">
        <v>297.26162088641826</v>
      </c>
      <c r="AK100" s="77">
        <v>293.3324542197517</v>
      </c>
      <c r="AL100" s="77">
        <v>277.8045094261891</v>
      </c>
      <c r="AM100" s="77">
        <v>60.709641908379766</v>
      </c>
      <c r="AN100" s="77">
        <v>88.780893985727971</v>
      </c>
      <c r="AO100" s="77">
        <v>96.851884348066861</v>
      </c>
      <c r="AP100" s="77">
        <v>84.745398804558505</v>
      </c>
      <c r="AQ100" s="77">
        <v>72.638913261050149</v>
      </c>
      <c r="AR100" s="77">
        <v>60.426099203039009</v>
      </c>
      <c r="AS100" s="77">
        <v>60.355213526703807</v>
      </c>
      <c r="AT100" s="77">
        <v>96.284798937385332</v>
      </c>
      <c r="AU100" s="77">
        <v>114.2141488045585</v>
      </c>
      <c r="AV100" s="77">
        <v>24.142085410681524</v>
      </c>
      <c r="AW100" s="77">
        <v>10.071016533839833</v>
      </c>
      <c r="AX100" s="77">
        <v>0</v>
      </c>
      <c r="AY100">
        <v>4041.0707185128726</v>
      </c>
      <c r="AZ100" s="60">
        <f>SUH!$Y$11*SUH!$Y$15</f>
        <v>15.757379999999998</v>
      </c>
      <c r="BA100" s="57">
        <f t="shared" si="26"/>
        <v>4056.8280985128727</v>
      </c>
      <c r="BB100" s="89"/>
    </row>
    <row r="101" spans="1:54">
      <c r="A101" s="57">
        <f>'24hr SPS'!A101</f>
        <v>48</v>
      </c>
      <c r="B101" s="5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>
        <v>0</v>
      </c>
      <c r="S101" s="77">
        <v>2.9802368110132513</v>
      </c>
      <c r="T101" s="77">
        <v>7.3904599664383284</v>
      </c>
      <c r="U101" s="77">
        <v>13.230669466275209</v>
      </c>
      <c r="V101" s="77">
        <v>34.800728754642172</v>
      </c>
      <c r="W101" s="77">
        <v>68.525671970509578</v>
      </c>
      <c r="X101" s="77">
        <v>26.461338932550419</v>
      </c>
      <c r="Y101" s="77">
        <v>25.866609882534092</v>
      </c>
      <c r="Z101" s="77">
        <v>23.841894488105964</v>
      </c>
      <c r="AA101" s="77">
        <v>75.203335951719183</v>
      </c>
      <c r="AB101" s="77">
        <v>102.89055904673671</v>
      </c>
      <c r="AC101" s="77">
        <v>113.17961495141039</v>
      </c>
      <c r="AD101" s="77">
        <v>123.46867085608405</v>
      </c>
      <c r="AE101" s="77">
        <v>133.75772676075775</v>
      </c>
      <c r="AF101" s="77">
        <v>171.11059829485515</v>
      </c>
      <c r="AG101" s="77">
        <v>212.32972920458451</v>
      </c>
      <c r="AH101" s="77">
        <v>412.06549451522443</v>
      </c>
      <c r="AI101" s="77">
        <v>667.86202077252779</v>
      </c>
      <c r="AJ101" s="77">
        <v>254.79567504550138</v>
      </c>
      <c r="AK101" s="77">
        <v>256.6658974422827</v>
      </c>
      <c r="AL101" s="77">
        <v>246.93734171216809</v>
      </c>
      <c r="AM101" s="77">
        <v>54.638677717541789</v>
      </c>
      <c r="AN101" s="77">
        <v>80.709903623389053</v>
      </c>
      <c r="AO101" s="77">
        <v>88.780893985727971</v>
      </c>
      <c r="AP101" s="77">
        <v>96.851884348066861</v>
      </c>
      <c r="AQ101" s="77">
        <v>84.745398804558505</v>
      </c>
      <c r="AR101" s="77">
        <v>90.639148804558516</v>
      </c>
      <c r="AS101" s="77">
        <v>72.42625623204458</v>
      </c>
      <c r="AT101" s="77">
        <v>120.35599867173167</v>
      </c>
      <c r="AU101" s="77">
        <v>152.28553173941131</v>
      </c>
      <c r="AV101" s="77">
        <v>36.21312811602229</v>
      </c>
      <c r="AW101" s="77">
        <v>20.142033067679666</v>
      </c>
      <c r="AX101" s="77">
        <v>8.0709903623389057</v>
      </c>
      <c r="AY101">
        <v>3879.2241202989926</v>
      </c>
      <c r="AZ101" s="60">
        <f>SUH!$Y$11*SUH!$Y$15</f>
        <v>15.757379999999998</v>
      </c>
      <c r="BA101" s="57">
        <f t="shared" si="26"/>
        <v>3894.9815002989926</v>
      </c>
      <c r="BB101" s="89"/>
    </row>
    <row r="102" spans="1:54">
      <c r="A102" s="57">
        <f>'24hr SPS'!A102</f>
        <v>49</v>
      </c>
      <c r="B102" s="5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>
        <v>0</v>
      </c>
      <c r="T102" s="77">
        <v>3.6952299832191642</v>
      </c>
      <c r="U102" s="77">
        <v>8.820446310850155</v>
      </c>
      <c r="V102" s="77">
        <v>26.100546565981617</v>
      </c>
      <c r="W102" s="77">
        <v>54.820537576407702</v>
      </c>
      <c r="X102" s="77">
        <v>22.051115777125343</v>
      </c>
      <c r="Y102" s="77">
        <v>22.17137989931495</v>
      </c>
      <c r="Z102" s="77">
        <v>20.861657677092715</v>
      </c>
      <c r="AA102" s="77">
        <v>66.847409734861515</v>
      </c>
      <c r="AB102" s="77">
        <v>92.601503142063024</v>
      </c>
      <c r="AC102" s="77">
        <v>102.89055904673671</v>
      </c>
      <c r="AD102" s="77">
        <v>113.17961495141039</v>
      </c>
      <c r="AE102" s="77">
        <v>123.46867085608405</v>
      </c>
      <c r="AF102" s="77">
        <v>158.88841270236551</v>
      </c>
      <c r="AG102" s="77">
        <v>198.17441392427889</v>
      </c>
      <c r="AH102" s="77">
        <v>386.31140110802289</v>
      </c>
      <c r="AI102" s="77">
        <v>628.57601955061432</v>
      </c>
      <c r="AJ102" s="77">
        <v>240.64035976519577</v>
      </c>
      <c r="AK102" s="77">
        <v>219.99934066481376</v>
      </c>
      <c r="AL102" s="77">
        <v>216.07017399814708</v>
      </c>
      <c r="AM102" s="77">
        <v>48.56771352670382</v>
      </c>
      <c r="AN102" s="77">
        <v>72.638913261050149</v>
      </c>
      <c r="AO102" s="77">
        <v>80.709903623389053</v>
      </c>
      <c r="AP102" s="77">
        <v>88.780893985727971</v>
      </c>
      <c r="AQ102" s="77">
        <v>96.851884348066861</v>
      </c>
      <c r="AR102" s="77">
        <v>105.74567360531826</v>
      </c>
      <c r="AS102" s="77">
        <v>108.63938434806687</v>
      </c>
      <c r="AT102" s="77">
        <v>144.42719840607802</v>
      </c>
      <c r="AU102" s="77">
        <v>190.35691467426415</v>
      </c>
      <c r="AV102" s="77">
        <v>48.284170821363048</v>
      </c>
      <c r="AW102" s="77">
        <v>30.213049601519504</v>
      </c>
      <c r="AX102" s="77">
        <v>16.141980724677811</v>
      </c>
      <c r="AY102">
        <v>3737.5264741608112</v>
      </c>
      <c r="AZ102" s="60">
        <f>SUH!$Y$11*SUH!$Y$15</f>
        <v>15.757379999999998</v>
      </c>
      <c r="BA102" s="57">
        <f t="shared" si="26"/>
        <v>3753.2838541608112</v>
      </c>
      <c r="BB102" s="89"/>
    </row>
    <row r="103" spans="1:54">
      <c r="A103" s="57">
        <f>'24hr SPS'!A103</f>
        <v>50</v>
      </c>
      <c r="B103" s="5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>
        <v>0</v>
      </c>
      <c r="U103" s="77">
        <v>4.4102231554250775</v>
      </c>
      <c r="V103" s="77">
        <v>17.400364377321107</v>
      </c>
      <c r="W103" s="77">
        <v>41.115403182305762</v>
      </c>
      <c r="X103" s="77">
        <v>17.640892621700285</v>
      </c>
      <c r="Y103" s="77">
        <v>18.476149916095785</v>
      </c>
      <c r="Z103" s="77">
        <v>17.881420866079477</v>
      </c>
      <c r="AA103" s="77">
        <v>58.491483518003811</v>
      </c>
      <c r="AB103" s="77">
        <v>82.312447237389378</v>
      </c>
      <c r="AC103" s="77">
        <v>92.601503142063024</v>
      </c>
      <c r="AD103" s="77">
        <v>102.89055904673671</v>
      </c>
      <c r="AE103" s="77">
        <v>113.17961495141039</v>
      </c>
      <c r="AF103" s="77">
        <v>146.66622710987585</v>
      </c>
      <c r="AG103" s="77">
        <v>184.01909864397325</v>
      </c>
      <c r="AH103" s="77">
        <v>360.55730770082141</v>
      </c>
      <c r="AI103" s="77">
        <v>589.29001832870097</v>
      </c>
      <c r="AJ103" s="77">
        <v>226.48504448489012</v>
      </c>
      <c r="AK103" s="77">
        <v>207.77715507232412</v>
      </c>
      <c r="AL103" s="77">
        <v>185.20300628412608</v>
      </c>
      <c r="AM103" s="77">
        <v>42.496749335865836</v>
      </c>
      <c r="AN103" s="77">
        <v>64.567922898711245</v>
      </c>
      <c r="AO103" s="77">
        <v>72.638913261050149</v>
      </c>
      <c r="AP103" s="77">
        <v>80.709903623389053</v>
      </c>
      <c r="AQ103" s="77">
        <v>88.780893985727971</v>
      </c>
      <c r="AR103" s="77">
        <v>120.85219840607802</v>
      </c>
      <c r="AS103" s="77">
        <v>126.74594840607801</v>
      </c>
      <c r="AT103" s="77">
        <v>216.64079760911702</v>
      </c>
      <c r="AU103" s="77">
        <v>228.42829760911701</v>
      </c>
      <c r="AV103" s="77">
        <v>60.355213526703807</v>
      </c>
      <c r="AW103" s="77">
        <v>40.284066135359332</v>
      </c>
      <c r="AX103" s="77">
        <v>24.212971087016715</v>
      </c>
      <c r="AY103">
        <v>3633.1117955234577</v>
      </c>
      <c r="AZ103" s="60">
        <f>SUH!$Y$11*SUH!$Y$15</f>
        <v>15.757379999999998</v>
      </c>
      <c r="BA103" s="57">
        <f t="shared" si="26"/>
        <v>3648.8691755234577</v>
      </c>
      <c r="BB103" s="89"/>
    </row>
    <row r="104" spans="1:54">
      <c r="A104" s="57">
        <f>'24hr SPS'!A104</f>
        <v>51</v>
      </c>
      <c r="B104" s="5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>
        <v>0</v>
      </c>
      <c r="V104" s="77">
        <v>8.7001821886605537</v>
      </c>
      <c r="W104" s="77">
        <v>27.410268788203886</v>
      </c>
      <c r="X104" s="77">
        <v>13.230669466275209</v>
      </c>
      <c r="Y104" s="77">
        <v>14.780919932876639</v>
      </c>
      <c r="Z104" s="77">
        <v>14.901184055066226</v>
      </c>
      <c r="AA104" s="77">
        <v>50.135557301146143</v>
      </c>
      <c r="AB104" s="77">
        <v>72.02339133271569</v>
      </c>
      <c r="AC104" s="77">
        <v>82.312447237389378</v>
      </c>
      <c r="AD104" s="77">
        <v>92.601503142063024</v>
      </c>
      <c r="AE104" s="77">
        <v>102.89055904673671</v>
      </c>
      <c r="AF104" s="77">
        <v>134.44404151738618</v>
      </c>
      <c r="AG104" s="77">
        <v>169.86378336366758</v>
      </c>
      <c r="AH104" s="77">
        <v>334.80321429361987</v>
      </c>
      <c r="AI104" s="77">
        <v>550.00401710678761</v>
      </c>
      <c r="AJ104" s="77">
        <v>212.32972920458451</v>
      </c>
      <c r="AK104" s="77">
        <v>195.55496947983445</v>
      </c>
      <c r="AL104" s="77">
        <v>174.91395037945242</v>
      </c>
      <c r="AM104" s="77">
        <v>36.425785145027866</v>
      </c>
      <c r="AN104" s="77">
        <v>56.496932536372341</v>
      </c>
      <c r="AO104" s="77">
        <v>64.567922898711245</v>
      </c>
      <c r="AP104" s="77">
        <v>72.638913261050149</v>
      </c>
      <c r="AQ104" s="77">
        <v>80.709903623389053</v>
      </c>
      <c r="AR104" s="77">
        <v>110.78118187223819</v>
      </c>
      <c r="AS104" s="77">
        <v>144.85251246408916</v>
      </c>
      <c r="AT104" s="77">
        <v>252.74759721063651</v>
      </c>
      <c r="AU104" s="77">
        <v>342.64244641367549</v>
      </c>
      <c r="AV104" s="77">
        <v>72.42625623204458</v>
      </c>
      <c r="AW104" s="77">
        <v>50.355082669199163</v>
      </c>
      <c r="AX104" s="77">
        <v>32.283961449355623</v>
      </c>
      <c r="AY104">
        <v>3567.8288836122551</v>
      </c>
      <c r="AZ104" s="60">
        <f>SUH!$Y$11*SUH!$Y$15</f>
        <v>15.757379999999998</v>
      </c>
      <c r="BA104" s="57">
        <f t="shared" si="26"/>
        <v>3583.5862636122552</v>
      </c>
      <c r="BB104" s="89"/>
    </row>
    <row r="105" spans="1:54">
      <c r="A105" s="57">
        <f>'24hr SPS'!A105</f>
        <v>52</v>
      </c>
      <c r="B105" s="5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>
        <v>0</v>
      </c>
      <c r="W105" s="77">
        <v>13.705134394101943</v>
      </c>
      <c r="X105" s="77">
        <v>8.820446310850155</v>
      </c>
      <c r="Y105" s="77">
        <v>11.085689949657475</v>
      </c>
      <c r="Z105" s="77">
        <v>11.920947244052989</v>
      </c>
      <c r="AA105" s="77">
        <v>41.77963108428844</v>
      </c>
      <c r="AB105" s="77">
        <v>61.734335428042051</v>
      </c>
      <c r="AC105" s="77">
        <v>72.02339133271569</v>
      </c>
      <c r="AD105" s="77">
        <v>82.312447237389378</v>
      </c>
      <c r="AE105" s="77">
        <v>92.601503142063024</v>
      </c>
      <c r="AF105" s="77">
        <v>122.22185592489654</v>
      </c>
      <c r="AG105" s="77">
        <v>155.70846808336196</v>
      </c>
      <c r="AH105" s="77">
        <v>309.04912088641834</v>
      </c>
      <c r="AI105" s="77">
        <v>510.71801588487421</v>
      </c>
      <c r="AJ105" s="77">
        <v>198.17441392427889</v>
      </c>
      <c r="AK105" s="77">
        <v>183.33278388734482</v>
      </c>
      <c r="AL105" s="77">
        <v>164.62489447477873</v>
      </c>
      <c r="AM105" s="77">
        <v>34.402130414748541</v>
      </c>
      <c r="AN105" s="77">
        <v>48.425942174033437</v>
      </c>
      <c r="AO105" s="77">
        <v>56.496932536372341</v>
      </c>
      <c r="AP105" s="77">
        <v>64.567922898711245</v>
      </c>
      <c r="AQ105" s="77">
        <v>72.638913261050149</v>
      </c>
      <c r="AR105" s="77">
        <v>100.71016533839835</v>
      </c>
      <c r="AS105" s="77">
        <v>132.78146975874841</v>
      </c>
      <c r="AT105" s="77">
        <v>288.85439681215604</v>
      </c>
      <c r="AU105" s="77">
        <v>399.74952081595478</v>
      </c>
      <c r="AV105" s="77">
        <v>108.63938434806687</v>
      </c>
      <c r="AW105" s="77">
        <v>60.426099203039009</v>
      </c>
      <c r="AX105" s="77">
        <v>40.354951811694519</v>
      </c>
      <c r="AY105">
        <v>3447.8609085620888</v>
      </c>
      <c r="AZ105" s="60">
        <f>SUH!$Y$11*SUH!$Y$15</f>
        <v>15.757379999999998</v>
      </c>
      <c r="BA105" s="57">
        <f t="shared" si="26"/>
        <v>3463.6182885620888</v>
      </c>
      <c r="BB105" s="89"/>
    </row>
    <row r="106" spans="1:54">
      <c r="A106" s="57">
        <f>'24hr SPS'!A106</f>
        <v>53</v>
      </c>
      <c r="B106" s="5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>
        <v>0</v>
      </c>
      <c r="X106" s="77">
        <v>4.4102231554250775</v>
      </c>
      <c r="Y106" s="77">
        <v>7.3904599664383284</v>
      </c>
      <c r="Z106" s="77">
        <v>8.9407104330397384</v>
      </c>
      <c r="AA106" s="77">
        <v>33.423704867430779</v>
      </c>
      <c r="AB106" s="77">
        <v>51.445279523368356</v>
      </c>
      <c r="AC106" s="77">
        <v>61.734335428042051</v>
      </c>
      <c r="AD106" s="77">
        <v>72.02339133271569</v>
      </c>
      <c r="AE106" s="77">
        <v>82.312447237389378</v>
      </c>
      <c r="AF106" s="77">
        <v>109.99967033240686</v>
      </c>
      <c r="AG106" s="77">
        <v>141.55315280305635</v>
      </c>
      <c r="AH106" s="77">
        <v>283.2950274792168</v>
      </c>
      <c r="AI106" s="77">
        <v>471.43201466296074</v>
      </c>
      <c r="AJ106" s="77">
        <v>184.01909864397325</v>
      </c>
      <c r="AK106" s="77">
        <v>171.11059829485515</v>
      </c>
      <c r="AL106" s="77">
        <v>154.33583857010507</v>
      </c>
      <c r="AM106" s="77">
        <v>32.378475684469215</v>
      </c>
      <c r="AN106" s="77">
        <v>45.735612053253803</v>
      </c>
      <c r="AO106" s="77">
        <v>48.425942174033437</v>
      </c>
      <c r="AP106" s="77">
        <v>56.496932536372341</v>
      </c>
      <c r="AQ106" s="77">
        <v>64.567922898711245</v>
      </c>
      <c r="AR106" s="77">
        <v>90.639148804558516</v>
      </c>
      <c r="AS106" s="77">
        <v>120.71042705340764</v>
      </c>
      <c r="AT106" s="77">
        <v>264.78319707780969</v>
      </c>
      <c r="AU106" s="77">
        <v>456.85659521823402</v>
      </c>
      <c r="AV106" s="77">
        <v>126.74594840607801</v>
      </c>
      <c r="AW106" s="77">
        <v>90.639148804558516</v>
      </c>
      <c r="AX106" s="77">
        <v>48.42594217403343</v>
      </c>
      <c r="AY106">
        <v>3283.8312456159438</v>
      </c>
      <c r="AZ106" s="60">
        <f>SUH!$Y$11*SUH!$Y$15</f>
        <v>15.757379999999998</v>
      </c>
      <c r="BA106" s="57">
        <f t="shared" si="26"/>
        <v>3299.5886256159438</v>
      </c>
      <c r="BB106" s="89"/>
    </row>
    <row r="107" spans="1:54">
      <c r="A107" s="57">
        <f>'24hr SPS'!A107</f>
        <v>54</v>
      </c>
      <c r="B107" s="5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>
        <v>0</v>
      </c>
      <c r="Y107" s="77">
        <v>3.6952299832191642</v>
      </c>
      <c r="Z107" s="77">
        <v>5.9604736220265027</v>
      </c>
      <c r="AA107" s="77">
        <v>25.067778650573072</v>
      </c>
      <c r="AB107" s="77">
        <v>41.156223618694717</v>
      </c>
      <c r="AC107" s="77">
        <v>51.445279523368356</v>
      </c>
      <c r="AD107" s="77">
        <v>61.734335428042051</v>
      </c>
      <c r="AE107" s="77">
        <v>72.02339133271569</v>
      </c>
      <c r="AF107" s="77">
        <v>97.777484739917242</v>
      </c>
      <c r="AG107" s="77">
        <v>127.39783752275068</v>
      </c>
      <c r="AH107" s="77">
        <v>257.54093407201526</v>
      </c>
      <c r="AI107" s="77">
        <v>432.14601344104739</v>
      </c>
      <c r="AJ107" s="77">
        <v>169.86378336366758</v>
      </c>
      <c r="AK107" s="77">
        <v>158.88841270236551</v>
      </c>
      <c r="AL107" s="77">
        <v>144.04678266543141</v>
      </c>
      <c r="AM107" s="77">
        <v>30.35482095418989</v>
      </c>
      <c r="AN107" s="77">
        <v>43.045281932474168</v>
      </c>
      <c r="AO107" s="77">
        <v>45.735612053253803</v>
      </c>
      <c r="AP107" s="77">
        <v>48.425942174033437</v>
      </c>
      <c r="AQ107" s="77">
        <v>56.496932536372341</v>
      </c>
      <c r="AR107" s="77">
        <v>80.568132270718692</v>
      </c>
      <c r="AS107" s="77">
        <v>108.63938434806687</v>
      </c>
      <c r="AT107" s="77">
        <v>240.71199734346337</v>
      </c>
      <c r="AU107" s="77">
        <v>418.78521228338121</v>
      </c>
      <c r="AV107" s="77">
        <v>144.85251246408916</v>
      </c>
      <c r="AW107" s="77">
        <v>105.74567360531826</v>
      </c>
      <c r="AX107" s="77">
        <v>72.638913261050149</v>
      </c>
      <c r="AY107">
        <v>3044.7443758922459</v>
      </c>
      <c r="AZ107" s="60">
        <f>SUH!$Y$11*SUH!$Y$15</f>
        <v>15.757379999999998</v>
      </c>
      <c r="BA107" s="57">
        <f t="shared" si="26"/>
        <v>3060.5017558922459</v>
      </c>
      <c r="BB107" s="89"/>
    </row>
    <row r="108" spans="1:54">
      <c r="A108" s="57">
        <f>'24hr SPS'!A108</f>
        <v>55</v>
      </c>
      <c r="B108" s="5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>
        <v>0</v>
      </c>
      <c r="Z108" s="77">
        <v>2.9802368110132513</v>
      </c>
      <c r="AA108" s="77">
        <v>16.711852433715411</v>
      </c>
      <c r="AB108" s="77">
        <v>30.867167714021026</v>
      </c>
      <c r="AC108" s="77">
        <v>41.156223618694717</v>
      </c>
      <c r="AD108" s="77">
        <v>51.445279523368356</v>
      </c>
      <c r="AE108" s="77">
        <v>61.734335428042051</v>
      </c>
      <c r="AF108" s="77">
        <v>85.555299147427561</v>
      </c>
      <c r="AG108" s="77">
        <v>113.24252224244509</v>
      </c>
      <c r="AH108" s="77">
        <v>231.7868406648137</v>
      </c>
      <c r="AI108" s="77">
        <v>392.86001221913398</v>
      </c>
      <c r="AJ108" s="77">
        <v>155.70846808336196</v>
      </c>
      <c r="AK108" s="77">
        <v>146.66622710987585</v>
      </c>
      <c r="AL108" s="77">
        <v>133.75772676075775</v>
      </c>
      <c r="AM108" s="77">
        <v>28.331166223910564</v>
      </c>
      <c r="AN108" s="77">
        <v>40.354951811694534</v>
      </c>
      <c r="AO108" s="77">
        <v>43.045281932474168</v>
      </c>
      <c r="AP108" s="77">
        <v>45.735612053253803</v>
      </c>
      <c r="AQ108" s="77">
        <v>48.425942174033437</v>
      </c>
      <c r="AR108" s="77">
        <v>70.49711573687884</v>
      </c>
      <c r="AS108" s="77">
        <v>96.568341642726125</v>
      </c>
      <c r="AT108" s="77">
        <v>216.64079760911702</v>
      </c>
      <c r="AU108" s="77">
        <v>380.71382934852835</v>
      </c>
      <c r="AV108" s="77">
        <v>132.78146975874841</v>
      </c>
      <c r="AW108" s="77">
        <v>120.85219840607802</v>
      </c>
      <c r="AX108" s="77">
        <v>84.745398804558505</v>
      </c>
      <c r="AY108">
        <v>2773.1642972586724</v>
      </c>
      <c r="AZ108" s="60">
        <f>SUH!$Y$11*SUH!$Y$15</f>
        <v>15.757379999999998</v>
      </c>
      <c r="BA108" s="57">
        <f t="shared" si="26"/>
        <v>2788.9216772586724</v>
      </c>
      <c r="BB108" s="89"/>
    </row>
    <row r="109" spans="1:54">
      <c r="A109" s="57">
        <f>'24hr SPS'!A109</f>
        <v>56</v>
      </c>
      <c r="B109" s="5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>
        <v>0</v>
      </c>
      <c r="AA109" s="77">
        <v>8.3559262168577053</v>
      </c>
      <c r="AB109" s="77">
        <v>20.578111809347384</v>
      </c>
      <c r="AC109" s="77">
        <v>30.867167714021026</v>
      </c>
      <c r="AD109" s="77">
        <v>41.156223618694717</v>
      </c>
      <c r="AE109" s="77">
        <v>51.445279523368356</v>
      </c>
      <c r="AF109" s="77">
        <v>73.333113554937952</v>
      </c>
      <c r="AG109" s="77">
        <v>99.087206962139419</v>
      </c>
      <c r="AH109" s="77">
        <v>206.03274725761224</v>
      </c>
      <c r="AI109" s="77">
        <v>353.57401099722051</v>
      </c>
      <c r="AJ109" s="77">
        <v>141.55315280305635</v>
      </c>
      <c r="AK109" s="77">
        <v>134.44404151738618</v>
      </c>
      <c r="AL109" s="77">
        <v>123.46867085608405</v>
      </c>
      <c r="AM109" s="77">
        <v>26.307511493631239</v>
      </c>
      <c r="AN109" s="77">
        <v>37.664621690914899</v>
      </c>
      <c r="AO109" s="77">
        <v>40.354951811694534</v>
      </c>
      <c r="AP109" s="77">
        <v>43.045281932474168</v>
      </c>
      <c r="AQ109" s="77">
        <v>45.735612053253803</v>
      </c>
      <c r="AR109" s="77">
        <v>60.426099203039016</v>
      </c>
      <c r="AS109" s="77">
        <v>84.497298937385352</v>
      </c>
      <c r="AT109" s="77">
        <v>192.56959787477072</v>
      </c>
      <c r="AU109" s="77">
        <v>342.64244641367549</v>
      </c>
      <c r="AV109" s="77">
        <v>120.71042705340764</v>
      </c>
      <c r="AW109" s="77">
        <v>110.78118187223819</v>
      </c>
      <c r="AX109" s="77">
        <v>96.851884348066861</v>
      </c>
      <c r="AY109">
        <v>2485.4825675152779</v>
      </c>
      <c r="AZ109" s="60">
        <f>SUH!$Y$11*SUH!$Y$15</f>
        <v>15.757379999999998</v>
      </c>
      <c r="BA109" s="57">
        <f t="shared" si="26"/>
        <v>2501.2399475152779</v>
      </c>
      <c r="BB109" s="89"/>
    </row>
    <row r="110" spans="1:54">
      <c r="A110" s="57">
        <f>'24hr SPS'!A110</f>
        <v>57</v>
      </c>
      <c r="B110" s="5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>
        <v>0</v>
      </c>
      <c r="AB110" s="77">
        <v>10.289055904673692</v>
      </c>
      <c r="AC110" s="77">
        <v>20.578111809347384</v>
      </c>
      <c r="AD110" s="77">
        <v>30.867167714021026</v>
      </c>
      <c r="AE110" s="77">
        <v>41.156223618694717</v>
      </c>
      <c r="AF110" s="77">
        <v>61.110927962448272</v>
      </c>
      <c r="AG110" s="77">
        <v>84.931891681833832</v>
      </c>
      <c r="AH110" s="77">
        <v>180.27865385041068</v>
      </c>
      <c r="AI110" s="77">
        <v>314.28800977530722</v>
      </c>
      <c r="AJ110" s="77">
        <v>127.39783752275068</v>
      </c>
      <c r="AK110" s="77">
        <v>122.22185592489654</v>
      </c>
      <c r="AL110" s="77">
        <v>113.17961495141039</v>
      </c>
      <c r="AM110" s="77">
        <v>24.28385676335191</v>
      </c>
      <c r="AN110" s="77">
        <v>34.974291570135264</v>
      </c>
      <c r="AO110" s="77">
        <v>37.664621690914899</v>
      </c>
      <c r="AP110" s="77">
        <v>40.354951811694534</v>
      </c>
      <c r="AQ110" s="77">
        <v>43.045281932474168</v>
      </c>
      <c r="AR110" s="77">
        <v>57.069093691759072</v>
      </c>
      <c r="AS110" s="77">
        <v>72.426256232044594</v>
      </c>
      <c r="AT110" s="77">
        <v>168.49839814042437</v>
      </c>
      <c r="AU110" s="77">
        <v>304.57106347882274</v>
      </c>
      <c r="AV110" s="77">
        <v>108.63938434806687</v>
      </c>
      <c r="AW110" s="77">
        <v>100.71016533839835</v>
      </c>
      <c r="AX110" s="77">
        <v>88.780893985727971</v>
      </c>
      <c r="AY110">
        <v>2187.3176096996085</v>
      </c>
      <c r="AZ110" s="60">
        <f>SUH!$Y$11*SUH!$Y$15</f>
        <v>15.757379999999998</v>
      </c>
      <c r="BA110" s="57">
        <f t="shared" si="26"/>
        <v>2203.0749896996085</v>
      </c>
      <c r="BB110" s="89"/>
    </row>
    <row r="111" spans="1:54">
      <c r="A111" s="57">
        <f>'24hr SPS'!A111</f>
        <v>58</v>
      </c>
      <c r="B111" s="5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>
        <v>0</v>
      </c>
      <c r="AC111" s="77">
        <v>10.289055904673692</v>
      </c>
      <c r="AD111" s="77">
        <v>20.578111809347384</v>
      </c>
      <c r="AE111" s="77">
        <v>30.867167714021026</v>
      </c>
      <c r="AF111" s="77">
        <v>48.888742369958656</v>
      </c>
      <c r="AG111" s="77">
        <v>70.776576401528175</v>
      </c>
      <c r="AH111" s="77">
        <v>154.52456044320923</v>
      </c>
      <c r="AI111" s="77">
        <v>275.00200855339375</v>
      </c>
      <c r="AJ111" s="77">
        <v>113.24252224244509</v>
      </c>
      <c r="AK111" s="77">
        <v>109.99967033240686</v>
      </c>
      <c r="AL111" s="77">
        <v>102.89055904673671</v>
      </c>
      <c r="AM111" s="77">
        <v>22.260202033072584</v>
      </c>
      <c r="AN111" s="77">
        <v>32.283961449355623</v>
      </c>
      <c r="AO111" s="77">
        <v>34.974291570135264</v>
      </c>
      <c r="AP111" s="77">
        <v>37.664621690914899</v>
      </c>
      <c r="AQ111" s="77">
        <v>40.354951811694534</v>
      </c>
      <c r="AR111" s="77">
        <v>53.712088180479128</v>
      </c>
      <c r="AS111" s="77">
        <v>68.402575330264341</v>
      </c>
      <c r="AT111" s="77">
        <v>144.42719840607802</v>
      </c>
      <c r="AU111" s="77">
        <v>266.49968054396987</v>
      </c>
      <c r="AV111" s="77">
        <v>96.568341642726125</v>
      </c>
      <c r="AW111" s="77">
        <v>90.639148804558516</v>
      </c>
      <c r="AX111" s="77">
        <v>80.709903623389053</v>
      </c>
      <c r="AY111">
        <v>1905.5559399043584</v>
      </c>
      <c r="AZ111" s="60">
        <f>SUH!$Y$11*SUH!$Y$15</f>
        <v>15.757379999999998</v>
      </c>
      <c r="BA111" s="57">
        <f t="shared" si="26"/>
        <v>1921.3133199043584</v>
      </c>
      <c r="BB111" s="89"/>
    </row>
    <row r="112" spans="1:54">
      <c r="A112" s="57">
        <f>'24hr SPS'!A112</f>
        <v>59</v>
      </c>
      <c r="B112" s="5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>
        <v>0</v>
      </c>
      <c r="AD112" s="77">
        <v>10.289055904673692</v>
      </c>
      <c r="AE112" s="77">
        <v>20.578111809347384</v>
      </c>
      <c r="AF112" s="77">
        <v>36.666556777468976</v>
      </c>
      <c r="AG112" s="77">
        <v>56.621261121222581</v>
      </c>
      <c r="AH112" s="77">
        <v>128.77046703600763</v>
      </c>
      <c r="AI112" s="77">
        <v>235.71600733148048</v>
      </c>
      <c r="AJ112" s="77">
        <v>99.087206962139419</v>
      </c>
      <c r="AK112" s="77">
        <v>97.777484739917242</v>
      </c>
      <c r="AL112" s="77">
        <v>92.601503142063024</v>
      </c>
      <c r="AM112" s="77">
        <v>20.236547302793259</v>
      </c>
      <c r="AN112" s="77">
        <v>29.593631328575992</v>
      </c>
      <c r="AO112" s="77">
        <v>32.283961449355623</v>
      </c>
      <c r="AP112" s="77">
        <v>34.974291570135264</v>
      </c>
      <c r="AQ112" s="77">
        <v>37.664621690914899</v>
      </c>
      <c r="AR112" s="77">
        <v>50.355082669199184</v>
      </c>
      <c r="AS112" s="77">
        <v>64.378894428484088</v>
      </c>
      <c r="AT112" s="77">
        <v>136.40346516129591</v>
      </c>
      <c r="AU112" s="77">
        <v>228.42829760911704</v>
      </c>
      <c r="AV112" s="77">
        <v>84.497298937385352</v>
      </c>
      <c r="AW112" s="77">
        <v>80.568132270718692</v>
      </c>
      <c r="AX112" s="77">
        <v>72.638913261050149</v>
      </c>
      <c r="AY112">
        <v>1650.1307925033457</v>
      </c>
      <c r="AZ112" s="60">
        <f>SUH!$Y$11*SUH!$Y$15</f>
        <v>15.757379999999998</v>
      </c>
      <c r="BA112" s="57">
        <f t="shared" si="26"/>
        <v>1665.8881725033457</v>
      </c>
      <c r="BB112" s="89"/>
    </row>
    <row r="113" spans="1:54">
      <c r="A113" s="57">
        <f>'24hr SPS'!A113</f>
        <v>60</v>
      </c>
      <c r="B113" s="5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>
        <v>0</v>
      </c>
      <c r="AE113" s="77">
        <v>10.289055904673692</v>
      </c>
      <c r="AF113" s="77">
        <v>24.444371184979357</v>
      </c>
      <c r="AG113" s="77">
        <v>42.465945840916916</v>
      </c>
      <c r="AH113" s="77">
        <v>103.01637362880619</v>
      </c>
      <c r="AI113" s="77">
        <v>196.43000610956699</v>
      </c>
      <c r="AJ113" s="77">
        <v>84.931891681833832</v>
      </c>
      <c r="AK113" s="77">
        <v>85.555299147427561</v>
      </c>
      <c r="AL113" s="77">
        <v>82.312447237389378</v>
      </c>
      <c r="AM113" s="77">
        <v>18.21289257251393</v>
      </c>
      <c r="AN113" s="77">
        <v>26.903301207796357</v>
      </c>
      <c r="AO113" s="77">
        <v>29.593631328575992</v>
      </c>
      <c r="AP113" s="77">
        <v>32.283961449355623</v>
      </c>
      <c r="AQ113" s="77">
        <v>34.974291570135264</v>
      </c>
      <c r="AR113" s="77">
        <v>46.998077157919241</v>
      </c>
      <c r="AS113" s="77">
        <v>60.355213526703828</v>
      </c>
      <c r="AT113" s="77">
        <v>128.3797319165138</v>
      </c>
      <c r="AU113" s="77">
        <v>215.73783663083276</v>
      </c>
      <c r="AV113" s="77">
        <v>72.426256232044594</v>
      </c>
      <c r="AW113" s="77">
        <v>70.49711573687884</v>
      </c>
      <c r="AX113" s="77">
        <v>64.567922898711245</v>
      </c>
      <c r="AY113">
        <v>1430.3756229635756</v>
      </c>
      <c r="AZ113" s="60">
        <f>SUH!$Y$11*SUH!$Y$15</f>
        <v>15.757379999999998</v>
      </c>
      <c r="BA113" s="57">
        <f t="shared" si="26"/>
        <v>1446.1330029635756</v>
      </c>
      <c r="BB113" s="89"/>
    </row>
    <row r="114" spans="1:54">
      <c r="A114" s="57">
        <f>'24hr SPS'!A114</f>
        <v>61</v>
      </c>
      <c r="B114" s="5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>
        <v>0</v>
      </c>
      <c r="AF114" s="77">
        <v>12.222185592489678</v>
      </c>
      <c r="AG114" s="77">
        <v>28.310630560611326</v>
      </c>
      <c r="AH114" s="77">
        <v>77.262280221604613</v>
      </c>
      <c r="AI114" s="77">
        <v>157.14400488765372</v>
      </c>
      <c r="AJ114" s="77">
        <v>70.776576401528175</v>
      </c>
      <c r="AK114" s="77">
        <v>73.333113554937952</v>
      </c>
      <c r="AL114" s="77">
        <v>72.02339133271569</v>
      </c>
      <c r="AM114" s="77">
        <v>16.189237842234611</v>
      </c>
      <c r="AN114" s="77">
        <v>24.212971087016715</v>
      </c>
      <c r="AO114" s="77">
        <v>26.903301207796357</v>
      </c>
      <c r="AP114" s="77">
        <v>29.593631328575992</v>
      </c>
      <c r="AQ114" s="77">
        <v>32.283961449355623</v>
      </c>
      <c r="AR114" s="77">
        <v>43.641071646639297</v>
      </c>
      <c r="AS114" s="77">
        <v>56.331532624923575</v>
      </c>
      <c r="AT114" s="77">
        <v>120.3559986717317</v>
      </c>
      <c r="AU114" s="77">
        <v>203.04737565254848</v>
      </c>
      <c r="AV114" s="77">
        <v>68.402575330264341</v>
      </c>
      <c r="AW114" s="77">
        <v>60.426099203039016</v>
      </c>
      <c r="AX114" s="77">
        <v>56.496932536372341</v>
      </c>
      <c r="AY114">
        <v>1228.9568711320392</v>
      </c>
      <c r="AZ114" s="60">
        <f>SUH!$Y$11*SUH!$Y$15</f>
        <v>15.757379999999998</v>
      </c>
      <c r="BA114" s="57">
        <f t="shared" si="26"/>
        <v>1244.7142511320392</v>
      </c>
      <c r="BB114" s="89"/>
    </row>
    <row r="115" spans="1:54">
      <c r="A115" s="57">
        <f>'24hr SPS'!A115</f>
        <v>62</v>
      </c>
      <c r="B115" s="5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>
        <v>0</v>
      </c>
      <c r="AG115" s="77">
        <v>14.155315280305663</v>
      </c>
      <c r="AH115" s="77">
        <v>51.50818681440316</v>
      </c>
      <c r="AI115" s="77">
        <v>117.85800366574024</v>
      </c>
      <c r="AJ115" s="77">
        <v>56.621261121222581</v>
      </c>
      <c r="AK115" s="77">
        <v>61.110927962448272</v>
      </c>
      <c r="AL115" s="77">
        <v>61.734335428042051</v>
      </c>
      <c r="AM115" s="77">
        <v>14.16558311195528</v>
      </c>
      <c r="AN115" s="77">
        <v>21.522640966237088</v>
      </c>
      <c r="AO115" s="77">
        <v>24.212971087016715</v>
      </c>
      <c r="AP115" s="77">
        <v>26.903301207796357</v>
      </c>
      <c r="AQ115" s="77">
        <v>29.593631328575992</v>
      </c>
      <c r="AR115" s="77">
        <v>40.284066135359346</v>
      </c>
      <c r="AS115" s="77">
        <v>52.307851723143322</v>
      </c>
      <c r="AT115" s="77">
        <v>112.33226542694959</v>
      </c>
      <c r="AU115" s="77">
        <v>190.3569146742642</v>
      </c>
      <c r="AV115" s="77">
        <v>64.378894428484088</v>
      </c>
      <c r="AW115" s="77">
        <v>57.069093691759072</v>
      </c>
      <c r="AX115" s="77">
        <v>48.425942174033437</v>
      </c>
      <c r="AY115">
        <v>1044.5411862277365</v>
      </c>
      <c r="AZ115" s="60">
        <f>SUH!$Y$11*SUH!$Y$15</f>
        <v>15.757379999999998</v>
      </c>
      <c r="BA115" s="57">
        <f t="shared" si="26"/>
        <v>1060.2985662277365</v>
      </c>
      <c r="BB115" s="89"/>
    </row>
    <row r="116" spans="1:54">
      <c r="A116" s="57">
        <f>'24hr SPS'!A116</f>
        <v>63</v>
      </c>
      <c r="B116" s="5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>
        <v>0</v>
      </c>
      <c r="AH116" s="77">
        <v>25.75409340720158</v>
      </c>
      <c r="AI116" s="77">
        <v>78.57200244382696</v>
      </c>
      <c r="AJ116" s="77">
        <v>42.465945840916916</v>
      </c>
      <c r="AK116" s="77">
        <v>48.888742369958656</v>
      </c>
      <c r="AL116" s="77">
        <v>51.445279523368356</v>
      </c>
      <c r="AM116" s="77">
        <v>12.14192838167596</v>
      </c>
      <c r="AN116" s="77">
        <v>18.832310845457446</v>
      </c>
      <c r="AO116" s="77">
        <v>21.522640966237088</v>
      </c>
      <c r="AP116" s="77">
        <v>24.212971087016715</v>
      </c>
      <c r="AQ116" s="77">
        <v>26.903301207796357</v>
      </c>
      <c r="AR116" s="77">
        <v>36.927060624079402</v>
      </c>
      <c r="AS116" s="77">
        <v>48.284170821363062</v>
      </c>
      <c r="AT116" s="77">
        <v>104.30853218216748</v>
      </c>
      <c r="AU116" s="77">
        <v>177.66645369597992</v>
      </c>
      <c r="AV116" s="77">
        <v>60.355213526703828</v>
      </c>
      <c r="AW116" s="77">
        <v>53.712088180479128</v>
      </c>
      <c r="AX116" s="77">
        <v>45.735612053253803</v>
      </c>
      <c r="AY116">
        <v>877.72834715748263</v>
      </c>
      <c r="AZ116" s="60">
        <f>SUH!$Y$11*SUH!$Y$15</f>
        <v>15.757379999999998</v>
      </c>
      <c r="BA116" s="57">
        <f t="shared" si="26"/>
        <v>893.48572715748264</v>
      </c>
      <c r="BB116" s="89"/>
    </row>
    <row r="117" spans="1:54">
      <c r="A117" s="57">
        <f>'24hr SPS'!A117</f>
        <v>64</v>
      </c>
      <c r="B117" s="5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>
        <v>0</v>
      </c>
      <c r="AI117" s="77">
        <v>39.28600122191348</v>
      </c>
      <c r="AJ117" s="77">
        <v>28.310630560611326</v>
      </c>
      <c r="AK117" s="77">
        <v>36.666556777468976</v>
      </c>
      <c r="AL117" s="77">
        <v>41.156223618694717</v>
      </c>
      <c r="AM117" s="77">
        <v>10.118273651396629</v>
      </c>
      <c r="AN117" s="77">
        <v>16.141980724677818</v>
      </c>
      <c r="AO117" s="77">
        <v>18.832310845457446</v>
      </c>
      <c r="AP117" s="77">
        <v>21.522640966237088</v>
      </c>
      <c r="AQ117" s="77">
        <v>24.212971087016715</v>
      </c>
      <c r="AR117" s="77">
        <v>33.570055112799459</v>
      </c>
      <c r="AS117" s="77">
        <v>44.26048991958281</v>
      </c>
      <c r="AT117" s="77">
        <v>96.284798937385361</v>
      </c>
      <c r="AU117" s="77">
        <v>164.97599271769568</v>
      </c>
      <c r="AV117" s="77">
        <v>56.331532624923575</v>
      </c>
      <c r="AW117" s="77">
        <v>50.355082669199184</v>
      </c>
      <c r="AX117" s="77">
        <v>43.045281932474168</v>
      </c>
      <c r="AY117">
        <v>725.07082336753444</v>
      </c>
      <c r="AZ117" s="60">
        <f>SUH!$Y$11*SUH!$Y$15</f>
        <v>15.757379999999998</v>
      </c>
      <c r="BA117" s="57">
        <f t="shared" si="26"/>
        <v>740.82820336753446</v>
      </c>
      <c r="BB117" s="89"/>
    </row>
    <row r="118" spans="1:54">
      <c r="A118" s="57">
        <f>'24hr SPS'!A118</f>
        <v>65</v>
      </c>
      <c r="B118" s="5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>
        <v>0</v>
      </c>
      <c r="AJ118" s="77">
        <v>14.155315280305663</v>
      </c>
      <c r="AK118" s="77">
        <v>24.444371184979357</v>
      </c>
      <c r="AL118" s="77">
        <v>30.867167714021026</v>
      </c>
      <c r="AM118" s="77">
        <v>8.0946189211173092</v>
      </c>
      <c r="AN118" s="77">
        <v>13.451650603898178</v>
      </c>
      <c r="AO118" s="77">
        <v>16.141980724677818</v>
      </c>
      <c r="AP118" s="77">
        <v>18.832310845457446</v>
      </c>
      <c r="AQ118" s="77">
        <v>21.522640966237088</v>
      </c>
      <c r="AR118" s="77">
        <v>30.213049601519504</v>
      </c>
      <c r="AS118" s="77">
        <v>40.236809017802557</v>
      </c>
      <c r="AT118" s="77">
        <v>88.261065692603239</v>
      </c>
      <c r="AU118" s="77">
        <v>152.28553173941137</v>
      </c>
      <c r="AV118" s="77">
        <v>52.307851723143322</v>
      </c>
      <c r="AW118" s="77">
        <v>46.998077157919241</v>
      </c>
      <c r="AX118" s="77">
        <v>40.354951811694534</v>
      </c>
      <c r="AY118">
        <v>598.16739298478751</v>
      </c>
      <c r="AZ118" s="60">
        <f>SUH!$Y$11*SUH!$Y$15</f>
        <v>15.757379999999998</v>
      </c>
      <c r="BA118" s="57">
        <f t="shared" ref="BA118:BA133" si="27">AY118+AZ118</f>
        <v>613.92477298478752</v>
      </c>
      <c r="BB118" s="89"/>
    </row>
    <row r="119" spans="1:54">
      <c r="A119" s="57">
        <f>'24hr SPS'!A119</f>
        <v>66</v>
      </c>
      <c r="B119" s="5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>
        <v>0</v>
      </c>
      <c r="AK119" s="77">
        <v>12.222185592489678</v>
      </c>
      <c r="AL119" s="77">
        <v>20.578111809347384</v>
      </c>
      <c r="AM119" s="77">
        <v>6.0709641908379801</v>
      </c>
      <c r="AN119" s="77">
        <v>10.761320483118551</v>
      </c>
      <c r="AO119" s="77">
        <v>13.451650603898178</v>
      </c>
      <c r="AP119" s="77">
        <v>16.141980724677818</v>
      </c>
      <c r="AQ119" s="77">
        <v>18.832310845457446</v>
      </c>
      <c r="AR119" s="77">
        <v>26.856044090239568</v>
      </c>
      <c r="AS119" s="77">
        <v>36.21312811602229</v>
      </c>
      <c r="AT119" s="77">
        <v>80.237332447821132</v>
      </c>
      <c r="AU119" s="77">
        <v>139.59507076112709</v>
      </c>
      <c r="AV119" s="77">
        <v>48.284170821363062</v>
      </c>
      <c r="AW119" s="77">
        <v>43.641071646639297</v>
      </c>
      <c r="AX119" s="77">
        <v>37.664621690914899</v>
      </c>
      <c r="AY119">
        <v>510.54996382395439</v>
      </c>
      <c r="AZ119" s="60">
        <f>SUH!$Y$11*SUH!$Y$15</f>
        <v>15.757379999999998</v>
      </c>
      <c r="BA119" s="57">
        <f t="shared" si="27"/>
        <v>526.3073438239544</v>
      </c>
      <c r="BB119" s="89"/>
    </row>
    <row r="120" spans="1:54">
      <c r="A120" s="57">
        <f>'24hr SPS'!A120</f>
        <v>67</v>
      </c>
      <c r="B120" s="5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  <c r="AI120" s="77"/>
      <c r="AJ120" s="77"/>
      <c r="AK120" s="77">
        <v>0</v>
      </c>
      <c r="AL120" s="77">
        <v>10.289055904673692</v>
      </c>
      <c r="AM120" s="77">
        <v>4.0473094605586599</v>
      </c>
      <c r="AN120" s="77">
        <v>8.0709903623389092</v>
      </c>
      <c r="AO120" s="77">
        <v>10.761320483118551</v>
      </c>
      <c r="AP120" s="77">
        <v>13.451650603898178</v>
      </c>
      <c r="AQ120" s="77">
        <v>16.141980724677818</v>
      </c>
      <c r="AR120" s="77">
        <v>23.499038578959617</v>
      </c>
      <c r="AS120" s="77">
        <v>32.189447214242044</v>
      </c>
      <c r="AT120" s="77">
        <v>72.21359920303901</v>
      </c>
      <c r="AU120" s="77">
        <v>126.90460978284281</v>
      </c>
      <c r="AV120" s="77">
        <v>44.26048991958281</v>
      </c>
      <c r="AW120" s="77">
        <v>40.284066135359346</v>
      </c>
      <c r="AX120" s="77">
        <v>34.974291570135264</v>
      </c>
      <c r="AY120">
        <v>437.0878499434267</v>
      </c>
      <c r="AZ120" s="60">
        <f>SUH!$Y$11*SUH!$Y$15</f>
        <v>15.757379999999998</v>
      </c>
      <c r="BA120" s="57">
        <f t="shared" si="27"/>
        <v>452.84522994342672</v>
      </c>
      <c r="BB120" s="89"/>
    </row>
    <row r="121" spans="1:54">
      <c r="A121" s="57">
        <f>'24hr SPS'!A121</f>
        <v>68</v>
      </c>
      <c r="B121" s="5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>
        <v>0</v>
      </c>
      <c r="AM121" s="77">
        <v>2.02365473027933</v>
      </c>
      <c r="AN121" s="77">
        <v>5.3806602415592826</v>
      </c>
      <c r="AO121" s="77">
        <v>8.0709903623389092</v>
      </c>
      <c r="AP121" s="77">
        <v>10.761320483118551</v>
      </c>
      <c r="AQ121" s="77">
        <v>13.451650603898178</v>
      </c>
      <c r="AR121" s="77">
        <v>20.14203306767968</v>
      </c>
      <c r="AS121" s="77">
        <v>28.165766312461784</v>
      </c>
      <c r="AT121" s="77">
        <v>64.189865958256917</v>
      </c>
      <c r="AU121" s="77">
        <v>114.2141488045585</v>
      </c>
      <c r="AV121" s="77">
        <v>40.236809017802557</v>
      </c>
      <c r="AW121" s="77">
        <v>36.927060624079402</v>
      </c>
      <c r="AX121" s="77">
        <v>32.283961449355623</v>
      </c>
      <c r="AY121">
        <v>375.84792165538869</v>
      </c>
      <c r="AZ121" s="60">
        <f>SUH!$Y$11*SUH!$Y$15</f>
        <v>15.757379999999998</v>
      </c>
      <c r="BA121" s="57">
        <f t="shared" si="27"/>
        <v>391.6053016553887</v>
      </c>
      <c r="BB121" s="89"/>
    </row>
    <row r="122" spans="1:54">
      <c r="A122" s="57">
        <f>'24hr SPS'!A122</f>
        <v>69</v>
      </c>
      <c r="B122" s="5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>
        <v>0</v>
      </c>
      <c r="AN122" s="77">
        <v>2.6903301207796413</v>
      </c>
      <c r="AO122" s="77">
        <v>5.3806602415592826</v>
      </c>
      <c r="AP122" s="77">
        <v>8.0709903623389092</v>
      </c>
      <c r="AQ122" s="77">
        <v>10.761320483118551</v>
      </c>
      <c r="AR122" s="77">
        <v>16.785027556399729</v>
      </c>
      <c r="AS122" s="77">
        <v>24.142085410681538</v>
      </c>
      <c r="AT122" s="77">
        <v>56.166132713474788</v>
      </c>
      <c r="AU122" s="77">
        <v>101.52368782627426</v>
      </c>
      <c r="AV122" s="77">
        <v>36.21312811602229</v>
      </c>
      <c r="AW122" s="77">
        <v>33.570055112799459</v>
      </c>
      <c r="AX122" s="77">
        <v>29.593631328575992</v>
      </c>
      <c r="AY122">
        <v>324.89704927202445</v>
      </c>
      <c r="AZ122" s="60">
        <f>SUH!$Y$11*SUH!$Y$15</f>
        <v>15.757379999999998</v>
      </c>
      <c r="BA122" s="57">
        <f t="shared" si="27"/>
        <v>340.65442927202446</v>
      </c>
      <c r="BB122" s="89"/>
    </row>
    <row r="123" spans="1:54">
      <c r="A123" s="57">
        <f>'24hr SPS'!A123</f>
        <v>70</v>
      </c>
      <c r="B123" s="5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  <c r="AI123" s="77"/>
      <c r="AJ123" s="77"/>
      <c r="AK123" s="77"/>
      <c r="AL123" s="77"/>
      <c r="AM123" s="77"/>
      <c r="AN123" s="77">
        <v>0</v>
      </c>
      <c r="AO123" s="77">
        <v>2.6903301207796413</v>
      </c>
      <c r="AP123" s="77">
        <v>5.3806602415592826</v>
      </c>
      <c r="AQ123" s="77">
        <v>8.0709903623389092</v>
      </c>
      <c r="AR123" s="77">
        <v>13.428022045119793</v>
      </c>
      <c r="AS123" s="77">
        <v>20.118404508901278</v>
      </c>
      <c r="AT123" s="77">
        <v>48.142399468692695</v>
      </c>
      <c r="AU123" s="77">
        <v>88.833226847989948</v>
      </c>
      <c r="AV123" s="77">
        <v>32.189447214242044</v>
      </c>
      <c r="AW123" s="77">
        <v>30.213049601519504</v>
      </c>
      <c r="AX123" s="77">
        <v>26.903301207796357</v>
      </c>
      <c r="AY123">
        <v>275.96983161893945</v>
      </c>
      <c r="AZ123" s="60">
        <f>SUH!$Y$11*SUH!$Y$15</f>
        <v>15.757379999999998</v>
      </c>
      <c r="BA123" s="57">
        <f t="shared" si="27"/>
        <v>291.72721161893946</v>
      </c>
      <c r="BB123" s="89"/>
    </row>
    <row r="124" spans="1:54">
      <c r="A124" s="57">
        <f>'24hr SPS'!A124</f>
        <v>71</v>
      </c>
      <c r="B124" s="5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>
        <v>0</v>
      </c>
      <c r="AP124" s="77">
        <v>2.6903301207796413</v>
      </c>
      <c r="AQ124" s="77">
        <v>5.3806602415592826</v>
      </c>
      <c r="AR124" s="77">
        <v>10.07101653383984</v>
      </c>
      <c r="AS124" s="77">
        <v>16.094723607121033</v>
      </c>
      <c r="AT124" s="77">
        <v>40.118666223910566</v>
      </c>
      <c r="AU124" s="77">
        <v>76.142765869705713</v>
      </c>
      <c r="AV124" s="77">
        <v>28.165766312461784</v>
      </c>
      <c r="AW124" s="77">
        <v>26.856044090239568</v>
      </c>
      <c r="AX124" s="77">
        <v>24.212971087016715</v>
      </c>
      <c r="AY124">
        <v>229.73294408663415</v>
      </c>
      <c r="AZ124" s="60">
        <f>SUH!$Y$11*SUH!$Y$15</f>
        <v>15.757379999999998</v>
      </c>
      <c r="BA124" s="57">
        <f t="shared" si="27"/>
        <v>245.49032408663413</v>
      </c>
      <c r="BB124" s="89"/>
    </row>
    <row r="125" spans="1:54">
      <c r="A125" s="57">
        <f>'24hr SPS'!A125</f>
        <v>72</v>
      </c>
      <c r="B125" s="5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  <c r="AI125" s="77"/>
      <c r="AJ125" s="77"/>
      <c r="AK125" s="77"/>
      <c r="AL125" s="77"/>
      <c r="AM125" s="77"/>
      <c r="AN125" s="77"/>
      <c r="AO125" s="77"/>
      <c r="AP125" s="77">
        <v>0</v>
      </c>
      <c r="AQ125" s="77">
        <v>2.6903301207796413</v>
      </c>
      <c r="AR125" s="77">
        <v>6.7140110225599043</v>
      </c>
      <c r="AS125" s="77">
        <v>12.071042705340769</v>
      </c>
      <c r="AT125" s="77">
        <v>32.09493297912848</v>
      </c>
      <c r="AU125" s="77">
        <v>63.452304891421406</v>
      </c>
      <c r="AV125" s="77">
        <v>24.142085410681538</v>
      </c>
      <c r="AW125" s="77">
        <v>23.499038578959617</v>
      </c>
      <c r="AX125" s="77">
        <v>21.522640966237088</v>
      </c>
      <c r="AY125">
        <v>186.18638667510842</v>
      </c>
      <c r="AZ125" s="60">
        <f>SUH!$Y$11*SUH!$Y$15</f>
        <v>15.757379999999998</v>
      </c>
      <c r="BA125" s="57">
        <f t="shared" si="27"/>
        <v>201.94376667510841</v>
      </c>
      <c r="BB125" s="89"/>
    </row>
    <row r="126" spans="1:54">
      <c r="A126" s="57">
        <f>'24hr SPS'!A126</f>
        <v>73</v>
      </c>
      <c r="B126" s="5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  <c r="AI126" s="77"/>
      <c r="AJ126" s="77"/>
      <c r="AK126" s="77"/>
      <c r="AL126" s="77"/>
      <c r="AM126" s="77"/>
      <c r="AN126" s="77"/>
      <c r="AO126" s="77"/>
      <c r="AP126" s="77"/>
      <c r="AQ126" s="77">
        <v>0</v>
      </c>
      <c r="AR126" s="77">
        <v>3.3570055112799522</v>
      </c>
      <c r="AS126" s="77">
        <v>8.047361803560527</v>
      </c>
      <c r="AT126" s="77">
        <v>24.071199734346347</v>
      </c>
      <c r="AU126" s="77">
        <v>50.761843913137163</v>
      </c>
      <c r="AV126" s="77">
        <v>20.118404508901278</v>
      </c>
      <c r="AW126" s="77">
        <v>20.14203306767968</v>
      </c>
      <c r="AX126" s="77">
        <v>18.832310845457446</v>
      </c>
      <c r="AY126">
        <v>145.33015938436239</v>
      </c>
      <c r="AZ126" s="60">
        <f>SUH!$Y$11*SUH!$Y$15</f>
        <v>15.757379999999998</v>
      </c>
      <c r="BA126" s="57">
        <f t="shared" si="27"/>
        <v>161.0875393843624</v>
      </c>
      <c r="BB126" s="89"/>
    </row>
    <row r="127" spans="1:54">
      <c r="A127" s="57">
        <f>'24hr SPS'!A127</f>
        <v>74</v>
      </c>
      <c r="B127" s="5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>
        <v>0</v>
      </c>
      <c r="AS127" s="77">
        <v>4.0236809017802635</v>
      </c>
      <c r="AT127" s="77">
        <v>16.047466489564258</v>
      </c>
      <c r="AU127" s="77">
        <v>38.071382934852856</v>
      </c>
      <c r="AV127" s="77">
        <v>16.094723607121033</v>
      </c>
      <c r="AW127" s="77">
        <v>16.785027556399729</v>
      </c>
      <c r="AX127" s="77">
        <v>16.141980724677818</v>
      </c>
      <c r="AY127">
        <v>107.16426221439596</v>
      </c>
      <c r="AZ127" s="60">
        <f>SUH!$Y$11*SUH!$Y$15</f>
        <v>15.757379999999998</v>
      </c>
      <c r="BA127" s="57">
        <f t="shared" si="27"/>
        <v>122.92164221439596</v>
      </c>
      <c r="BB127" s="89"/>
    </row>
    <row r="128" spans="1:54">
      <c r="A128" s="57">
        <f>'24hr SPS'!A128</f>
        <v>75</v>
      </c>
      <c r="B128" s="5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77"/>
      <c r="AJ128" s="77"/>
      <c r="AK128" s="77"/>
      <c r="AL128" s="77"/>
      <c r="AM128" s="77"/>
      <c r="AN128" s="77"/>
      <c r="AO128" s="77"/>
      <c r="AP128" s="77"/>
      <c r="AQ128" s="77"/>
      <c r="AR128" s="77"/>
      <c r="AS128" s="77">
        <v>0</v>
      </c>
      <c r="AT128" s="77">
        <v>8.0237332447821288</v>
      </c>
      <c r="AU128" s="77">
        <v>25.380921956568613</v>
      </c>
      <c r="AV128" s="77">
        <v>12.071042705340769</v>
      </c>
      <c r="AW128" s="77">
        <v>13.428022045119793</v>
      </c>
      <c r="AX128" s="77">
        <v>13.451650603898178</v>
      </c>
      <c r="AY128">
        <v>72.35537055570947</v>
      </c>
      <c r="AZ128" s="60">
        <f>SUH!$Y$11*SUH!$Y$15</f>
        <v>15.757379999999998</v>
      </c>
      <c r="BA128" s="57">
        <f t="shared" si="27"/>
        <v>88.112750555709468</v>
      </c>
      <c r="BB128" s="89"/>
    </row>
    <row r="129" spans="1:54">
      <c r="A129" s="57">
        <f>'24hr SPS'!A129</f>
        <v>76</v>
      </c>
      <c r="B129" s="5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>
        <v>0</v>
      </c>
      <c r="AU129" s="77">
        <v>12.690460978284307</v>
      </c>
      <c r="AV129" s="77">
        <v>8.047361803560527</v>
      </c>
      <c r="AW129" s="77">
        <v>10.07101653383984</v>
      </c>
      <c r="AX129" s="77">
        <v>10.761320483118551</v>
      </c>
      <c r="AY129">
        <v>41.570159798803225</v>
      </c>
      <c r="AZ129" s="60">
        <f>SUH!$Y$11*SUH!$Y$15</f>
        <v>15.757379999999998</v>
      </c>
      <c r="BA129" s="57">
        <f t="shared" si="27"/>
        <v>57.327539798803222</v>
      </c>
      <c r="BB129" s="89"/>
    </row>
    <row r="130" spans="1:54">
      <c r="A130" s="57">
        <f>'24hr SPS'!A130</f>
        <v>77</v>
      </c>
      <c r="B130" s="5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>
        <v>0</v>
      </c>
      <c r="AV130" s="77">
        <v>4.0236809017802635</v>
      </c>
      <c r="AW130" s="77">
        <v>6.7140110225599043</v>
      </c>
      <c r="AX130" s="77">
        <v>8.0709903623389092</v>
      </c>
      <c r="AY130">
        <v>18.80868228667908</v>
      </c>
      <c r="AZ130" s="60">
        <f>SUH!$Y$11*SUH!$Y$15</f>
        <v>15.757379999999998</v>
      </c>
      <c r="BA130" s="57">
        <f t="shared" si="27"/>
        <v>34.566062286679077</v>
      </c>
      <c r="BB130" s="89"/>
    </row>
    <row r="131" spans="1:54">
      <c r="A131" s="57">
        <f>'24hr SPS'!A131</f>
        <v>78</v>
      </c>
      <c r="B131" s="5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>
        <v>0</v>
      </c>
      <c r="AW131" s="77">
        <v>3.3570055112799522</v>
      </c>
      <c r="AX131" s="77">
        <v>5.3806602415592826</v>
      </c>
      <c r="AY131">
        <v>8.7376657528392343</v>
      </c>
      <c r="AZ131" s="60">
        <f>SUH!$Y$11*SUH!$Y$15</f>
        <v>15.757379999999998</v>
      </c>
      <c r="BA131" s="57">
        <f t="shared" si="27"/>
        <v>24.495045752839232</v>
      </c>
      <c r="BB131" s="89"/>
    </row>
    <row r="132" spans="1:54">
      <c r="A132" s="57">
        <f>'24hr SPS'!A132</f>
        <v>79</v>
      </c>
      <c r="B132" s="5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  <c r="AW132" s="77">
        <v>0</v>
      </c>
      <c r="AX132" s="77">
        <v>2.6903301207796413</v>
      </c>
      <c r="AY132">
        <v>2.6903301207796413</v>
      </c>
      <c r="AZ132" s="60">
        <f>SUH!$Y$11*SUH!$Y$15</f>
        <v>15.757379999999998</v>
      </c>
      <c r="BA132" s="57">
        <f t="shared" si="27"/>
        <v>18.447710120779639</v>
      </c>
      <c r="BB132" s="89"/>
    </row>
    <row r="133" spans="1:54">
      <c r="A133" s="57">
        <f>'24hr SPS'!A133</f>
        <v>80</v>
      </c>
      <c r="B133" s="5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>
        <v>0</v>
      </c>
      <c r="AY133">
        <v>0</v>
      </c>
      <c r="AZ133" s="60">
        <f>SUH!$Y$11*SUH!$Y$15</f>
        <v>15.757379999999998</v>
      </c>
      <c r="BA133" s="57">
        <f t="shared" si="27"/>
        <v>15.757379999999998</v>
      </c>
      <c r="BB133" s="89"/>
    </row>
    <row r="134" spans="1:54" hidden="1">
      <c r="A134" s="57">
        <f>'24hr SPS'!A134</f>
        <v>81</v>
      </c>
      <c r="B134" s="5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Z134" s="60"/>
      <c r="BA134" s="57"/>
      <c r="BB134" s="89"/>
    </row>
    <row r="135" spans="1:54" hidden="1">
      <c r="A135" s="57">
        <f>'24hr SPS'!A135</f>
        <v>82</v>
      </c>
      <c r="B135" s="5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  <c r="AI135" s="77"/>
      <c r="AJ135" s="77"/>
      <c r="AK135" s="77"/>
      <c r="AL135" s="77"/>
      <c r="AM135" s="77"/>
      <c r="AN135" s="77"/>
      <c r="AO135" s="77"/>
      <c r="AP135" s="77"/>
      <c r="AQ135" s="77"/>
      <c r="AR135" s="77"/>
      <c r="AS135" s="77"/>
      <c r="AT135" s="77"/>
      <c r="AU135" s="77"/>
      <c r="AV135" s="77"/>
      <c r="AW135" s="77"/>
      <c r="AX135" s="77"/>
      <c r="AZ135" s="60"/>
      <c r="BA135" s="57"/>
      <c r="BB135" s="89"/>
    </row>
    <row r="136" spans="1:54" hidden="1">
      <c r="A136" s="57">
        <f>'24hr SPS'!A136</f>
        <v>83</v>
      </c>
      <c r="B136" s="5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  <c r="AI136" s="77"/>
      <c r="AJ136" s="77"/>
      <c r="AK136" s="77"/>
      <c r="AL136" s="77"/>
      <c r="AM136" s="77"/>
      <c r="AN136" s="77"/>
      <c r="AO136" s="77"/>
      <c r="AP136" s="77"/>
      <c r="AQ136" s="77"/>
      <c r="AR136" s="77"/>
      <c r="AS136" s="77"/>
      <c r="AT136" s="77"/>
      <c r="AU136" s="77"/>
      <c r="AV136" s="77"/>
      <c r="AW136" s="77"/>
      <c r="AX136" s="77"/>
      <c r="AZ136" s="60"/>
      <c r="BA136" s="57"/>
      <c r="BB136" s="89"/>
    </row>
    <row r="137" spans="1:54" hidden="1">
      <c r="A137" s="57">
        <f>'24hr SPS'!A137</f>
        <v>84</v>
      </c>
      <c r="B137" s="5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W137" s="77"/>
      <c r="AX137" s="77"/>
      <c r="AZ137" s="60"/>
      <c r="BA137" s="57"/>
      <c r="BB137" s="89"/>
    </row>
    <row r="138" spans="1:54" hidden="1">
      <c r="A138" s="57">
        <f>'24hr SPS'!A138</f>
        <v>85</v>
      </c>
      <c r="B138" s="5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77"/>
      <c r="AZ138" s="60"/>
      <c r="BA138" s="57"/>
      <c r="BB138" s="89"/>
    </row>
    <row r="139" spans="1:54" hidden="1">
      <c r="A139" s="57">
        <f>'24hr SPS'!A139</f>
        <v>86</v>
      </c>
      <c r="B139" s="39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  <c r="AI139" s="77"/>
      <c r="AJ139" s="77"/>
      <c r="AK139" s="77"/>
      <c r="AL139" s="77"/>
      <c r="AM139" s="77"/>
      <c r="AN139" s="77"/>
      <c r="AO139" s="77"/>
      <c r="AP139" s="77"/>
      <c r="AQ139" s="77"/>
      <c r="AR139" s="77"/>
      <c r="AS139" s="77"/>
      <c r="AT139" s="77"/>
      <c r="AU139" s="77"/>
      <c r="AV139" s="77"/>
      <c r="AW139" s="77"/>
      <c r="AX139" s="77"/>
      <c r="AZ139" s="60"/>
      <c r="BA139" s="57"/>
      <c r="BB139" s="89"/>
    </row>
    <row r="140" spans="1:54" hidden="1">
      <c r="A140" s="57">
        <f>'24hr SPS'!A140</f>
        <v>87</v>
      </c>
      <c r="B140" s="39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Z140" s="60"/>
      <c r="BA140" s="57"/>
      <c r="BB140" s="89"/>
    </row>
    <row r="141" spans="1:54" hidden="1">
      <c r="A141" s="57">
        <f>'24hr SPS'!A141</f>
        <v>88</v>
      </c>
      <c r="B141" s="5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AZ141" s="60"/>
      <c r="BA141" s="57"/>
      <c r="BB141" s="89"/>
    </row>
    <row r="142" spans="1:54" hidden="1">
      <c r="A142" s="57">
        <f>'24hr SPS'!A142</f>
        <v>89</v>
      </c>
      <c r="B142" s="5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  <c r="AO142" s="77"/>
      <c r="AP142" s="77"/>
      <c r="AQ142" s="77"/>
      <c r="AR142" s="77"/>
      <c r="AS142" s="77"/>
      <c r="AT142" s="77"/>
      <c r="AU142" s="77"/>
      <c r="AV142" s="77"/>
      <c r="AW142" s="77"/>
      <c r="AX142" s="77"/>
      <c r="AZ142" s="60"/>
      <c r="BA142" s="57"/>
      <c r="BB142" s="89"/>
    </row>
    <row r="143" spans="1:54" hidden="1">
      <c r="A143" s="57">
        <f>'24hr SPS'!A143</f>
        <v>90</v>
      </c>
      <c r="B143" s="5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77"/>
      <c r="AZ143" s="60"/>
      <c r="BA143" s="57"/>
      <c r="BB143" s="89"/>
    </row>
    <row r="144" spans="1:54" hidden="1">
      <c r="A144" s="57">
        <f>'24hr SPS'!A144</f>
        <v>91</v>
      </c>
      <c r="B144" s="5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  <c r="AO144" s="77"/>
      <c r="AP144" s="77"/>
      <c r="AQ144" s="77"/>
      <c r="AR144" s="77"/>
      <c r="AS144" s="77"/>
      <c r="AT144" s="77"/>
      <c r="AU144" s="77"/>
      <c r="AV144" s="77"/>
      <c r="AW144" s="77"/>
      <c r="AX144" s="77"/>
      <c r="AZ144" s="60"/>
      <c r="BA144" s="57"/>
      <c r="BB144" s="89"/>
    </row>
    <row r="145" spans="1:54" hidden="1">
      <c r="A145" s="57">
        <f>'24hr SPS'!A145</f>
        <v>92</v>
      </c>
      <c r="B145" s="39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  <c r="AO145" s="77"/>
      <c r="AP145" s="77"/>
      <c r="AQ145" s="77"/>
      <c r="AR145" s="77"/>
      <c r="AS145" s="77"/>
      <c r="AT145" s="77"/>
      <c r="AU145" s="77"/>
      <c r="AV145" s="77"/>
      <c r="AW145" s="77"/>
      <c r="AX145" s="77"/>
      <c r="AZ145" s="60"/>
      <c r="BA145" s="57"/>
      <c r="BB145" s="89"/>
    </row>
    <row r="146" spans="1:54" hidden="1">
      <c r="A146" s="57">
        <f>'24hr SPS'!A146</f>
        <v>93</v>
      </c>
      <c r="B146" s="39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77"/>
      <c r="AZ146" s="60"/>
      <c r="BA146" s="57"/>
      <c r="BB146" s="89"/>
    </row>
    <row r="147" spans="1:54" hidden="1">
      <c r="A147" s="57">
        <v>94</v>
      </c>
      <c r="B147" s="39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  <c r="AO147" s="77"/>
      <c r="AP147" s="77"/>
      <c r="AQ147" s="77"/>
      <c r="AR147" s="77"/>
      <c r="AS147" s="77"/>
      <c r="AT147" s="77"/>
      <c r="AU147" s="77"/>
      <c r="AV147" s="77"/>
      <c r="AW147" s="77"/>
      <c r="AX147" s="77"/>
      <c r="AZ147" s="60"/>
      <c r="BA147" s="57"/>
      <c r="BB147" s="89"/>
    </row>
    <row r="148" spans="1:54" hidden="1">
      <c r="A148" s="57">
        <v>95</v>
      </c>
      <c r="B148" s="39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  <c r="AT148" s="77"/>
      <c r="AU148" s="77"/>
      <c r="AV148" s="77"/>
      <c r="AW148" s="77"/>
      <c r="AX148" s="77"/>
      <c r="AZ148" s="60"/>
      <c r="BA148" s="57"/>
      <c r="BB148" s="89"/>
    </row>
    <row r="149" spans="1:54" hidden="1">
      <c r="A149" s="57">
        <v>96</v>
      </c>
      <c r="B149" s="39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AZ149" s="60"/>
      <c r="BA149" s="57"/>
      <c r="BB149" s="89"/>
    </row>
    <row r="150" spans="1:54" hidden="1">
      <c r="A150" s="57">
        <v>97</v>
      </c>
      <c r="B150" s="39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  <c r="AO150" s="77"/>
      <c r="AP150" s="77"/>
      <c r="AQ150" s="77"/>
      <c r="AR150" s="77"/>
      <c r="AS150" s="77"/>
      <c r="AT150" s="77"/>
      <c r="AU150" s="77"/>
      <c r="AV150" s="77"/>
      <c r="AW150" s="77"/>
      <c r="AX150" s="77"/>
      <c r="AZ150" s="60"/>
      <c r="BA150" s="57"/>
      <c r="BB150" s="89"/>
    </row>
    <row r="151" spans="1:54" hidden="1">
      <c r="A151" s="57">
        <v>98</v>
      </c>
      <c r="B151" s="39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  <c r="AO151" s="77"/>
      <c r="AP151" s="77"/>
      <c r="AQ151" s="77"/>
      <c r="AR151" s="77"/>
      <c r="AS151" s="77"/>
      <c r="AT151" s="77"/>
      <c r="AU151" s="77"/>
      <c r="AV151" s="77"/>
      <c r="AW151" s="77"/>
      <c r="AX151" s="77"/>
      <c r="AZ151" s="60"/>
      <c r="BA151" s="57"/>
      <c r="BB151" s="89"/>
    </row>
    <row r="152" spans="1:54" hidden="1">
      <c r="A152" s="57">
        <v>99</v>
      </c>
      <c r="B152" s="39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Z152" s="60"/>
      <c r="BA152" s="57"/>
      <c r="BB152" s="89"/>
    </row>
    <row r="153" spans="1:54" hidden="1">
      <c r="A153" s="57">
        <v>100</v>
      </c>
      <c r="B153" s="39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AZ153" s="60"/>
      <c r="BA153" s="57"/>
      <c r="BB153" s="89"/>
    </row>
    <row r="154" spans="1:54" hidden="1">
      <c r="A154" s="57">
        <v>101</v>
      </c>
      <c r="B154" s="39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77"/>
      <c r="AB154" s="77"/>
      <c r="AC154" s="77"/>
      <c r="AD154" s="77"/>
      <c r="AE154" s="77"/>
      <c r="AF154" s="77"/>
      <c r="AG154" s="77"/>
      <c r="AH154" s="77"/>
      <c r="AI154" s="77"/>
      <c r="AJ154" s="77"/>
      <c r="AK154" s="77"/>
      <c r="AL154" s="77"/>
      <c r="AM154" s="77"/>
      <c r="AN154" s="77"/>
      <c r="AO154" s="77"/>
      <c r="AP154" s="77"/>
      <c r="AQ154" s="77"/>
      <c r="AR154" s="77"/>
      <c r="AS154" s="77"/>
      <c r="AT154" s="77"/>
      <c r="AU154" s="77"/>
      <c r="AV154" s="77"/>
      <c r="AW154" s="77"/>
      <c r="AX154" s="77"/>
      <c r="AZ154" s="60"/>
      <c r="BA154" s="57"/>
      <c r="BB154" s="89"/>
    </row>
    <row r="155" spans="1:54" hidden="1">
      <c r="A155" s="57">
        <v>102</v>
      </c>
      <c r="B155" s="39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77"/>
      <c r="AB155" s="77"/>
      <c r="AC155" s="77"/>
      <c r="AD155" s="77"/>
      <c r="AE155" s="77"/>
      <c r="AF155" s="77"/>
      <c r="AG155" s="77"/>
      <c r="AH155" s="77"/>
      <c r="AI155" s="77"/>
      <c r="AJ155" s="77"/>
      <c r="AK155" s="77"/>
      <c r="AL155" s="77"/>
      <c r="AM155" s="77"/>
      <c r="AN155" s="77"/>
      <c r="AO155" s="77"/>
      <c r="AP155" s="77"/>
      <c r="AQ155" s="77"/>
      <c r="AR155" s="77"/>
      <c r="AS155" s="77"/>
      <c r="AT155" s="77"/>
      <c r="AU155" s="77"/>
      <c r="AV155" s="77"/>
      <c r="AW155" s="77"/>
      <c r="AX155" s="77"/>
      <c r="AZ155" s="60"/>
      <c r="BA155" s="57"/>
      <c r="BB155" s="89"/>
    </row>
    <row r="156" spans="1:54" hidden="1">
      <c r="A156" s="57">
        <v>103</v>
      </c>
      <c r="B156" s="39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AZ156" s="60"/>
      <c r="BA156" s="57"/>
      <c r="BB156" s="89"/>
    </row>
    <row r="157" spans="1:54" hidden="1">
      <c r="A157" s="57">
        <v>104</v>
      </c>
      <c r="B157" s="39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AZ157" s="60"/>
      <c r="BA157" s="57"/>
      <c r="BB157" s="89"/>
    </row>
    <row r="158" spans="1:54" hidden="1">
      <c r="A158" s="57">
        <v>105</v>
      </c>
      <c r="B158" s="39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77"/>
      <c r="AB158" s="77"/>
      <c r="AC158" s="77"/>
      <c r="AD158" s="77"/>
      <c r="AE158" s="77"/>
      <c r="AF158" s="77"/>
      <c r="AG158" s="77"/>
      <c r="AH158" s="77"/>
      <c r="AI158" s="77"/>
      <c r="AJ158" s="77"/>
      <c r="AK158" s="77"/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Z158" s="60"/>
      <c r="BA158" s="57"/>
      <c r="BB158" s="89"/>
    </row>
    <row r="159" spans="1:54" hidden="1">
      <c r="A159" s="57">
        <v>106</v>
      </c>
      <c r="B159" s="39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77"/>
      <c r="AB159" s="77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W159" s="77"/>
      <c r="AX159" s="77"/>
      <c r="AZ159" s="60"/>
      <c r="BA159" s="57"/>
      <c r="BB159" s="89"/>
    </row>
    <row r="160" spans="1:54" hidden="1">
      <c r="A160" s="57">
        <v>107</v>
      </c>
      <c r="B160" s="39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77"/>
      <c r="AB160" s="77"/>
      <c r="AC160" s="77"/>
      <c r="AD160" s="77"/>
      <c r="AE160" s="77"/>
      <c r="AF160" s="77"/>
      <c r="AG160" s="77"/>
      <c r="AH160" s="77"/>
      <c r="AI160" s="77"/>
      <c r="AJ160" s="77"/>
      <c r="AK160" s="77"/>
      <c r="AL160" s="77"/>
      <c r="AM160" s="77"/>
      <c r="AN160" s="77"/>
      <c r="AO160" s="77"/>
      <c r="AP160" s="77"/>
      <c r="AQ160" s="77"/>
      <c r="AR160" s="77"/>
      <c r="AS160" s="77"/>
      <c r="AT160" s="77"/>
      <c r="AU160" s="77"/>
      <c r="AV160" s="77"/>
      <c r="AW160" s="77"/>
      <c r="AX160" s="77"/>
      <c r="AZ160" s="60"/>
      <c r="BA160" s="57"/>
      <c r="BB160" s="89"/>
    </row>
    <row r="161" spans="1:54" hidden="1">
      <c r="A161" s="57">
        <v>108</v>
      </c>
      <c r="B161" s="39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77"/>
      <c r="AB161" s="77"/>
      <c r="AC161" s="77"/>
      <c r="AD161" s="77"/>
      <c r="AE161" s="77"/>
      <c r="AF161" s="77"/>
      <c r="AG161" s="77"/>
      <c r="AH161" s="77"/>
      <c r="AI161" s="77"/>
      <c r="AJ161" s="77"/>
      <c r="AK161" s="77"/>
      <c r="AL161" s="77"/>
      <c r="AM161" s="77"/>
      <c r="AN161" s="77"/>
      <c r="AO161" s="77"/>
      <c r="AP161" s="77"/>
      <c r="AQ161" s="77"/>
      <c r="AR161" s="77"/>
      <c r="AS161" s="77"/>
      <c r="AT161" s="77"/>
      <c r="AU161" s="77"/>
      <c r="AV161" s="77"/>
      <c r="AW161" s="77"/>
      <c r="AX161" s="77"/>
      <c r="AZ161" s="60"/>
      <c r="BA161" s="57"/>
      <c r="BB161" s="89"/>
    </row>
    <row r="162" spans="1:54" hidden="1">
      <c r="A162" s="57">
        <v>109</v>
      </c>
      <c r="B162" s="39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77"/>
      <c r="AB162" s="77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W162" s="77"/>
      <c r="AX162" s="77"/>
      <c r="AZ162" s="60"/>
      <c r="BA162" s="57"/>
      <c r="BB162" s="89"/>
    </row>
    <row r="163" spans="1:54" hidden="1">
      <c r="A163" s="57">
        <v>110</v>
      </c>
      <c r="B163" s="39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77"/>
      <c r="AB163" s="77"/>
      <c r="AC163" s="77"/>
      <c r="AD163" s="77"/>
      <c r="AE163" s="77"/>
      <c r="AF163" s="77"/>
      <c r="AG163" s="77"/>
      <c r="AH163" s="77"/>
      <c r="AI163" s="77"/>
      <c r="AJ163" s="77"/>
      <c r="AK163" s="77"/>
      <c r="AL163" s="77"/>
      <c r="AM163" s="77"/>
      <c r="AN163" s="77"/>
      <c r="AO163" s="77"/>
      <c r="AP163" s="77"/>
      <c r="AQ163" s="77"/>
      <c r="AR163" s="77"/>
      <c r="AS163" s="77"/>
      <c r="AT163" s="77"/>
      <c r="AU163" s="77"/>
      <c r="AV163" s="77"/>
      <c r="AW163" s="77"/>
      <c r="AX163" s="77"/>
      <c r="AZ163" s="60"/>
      <c r="BA163" s="57"/>
      <c r="BB163" s="89"/>
    </row>
    <row r="164" spans="1:54" hidden="1">
      <c r="A164" s="57">
        <v>111</v>
      </c>
      <c r="B164" s="39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77"/>
      <c r="AB164" s="77"/>
      <c r="AC164" s="77"/>
      <c r="AD164" s="77"/>
      <c r="AE164" s="77"/>
      <c r="AF164" s="77"/>
      <c r="AG164" s="77"/>
      <c r="AH164" s="77"/>
      <c r="AI164" s="77"/>
      <c r="AJ164" s="77"/>
      <c r="AK164" s="77"/>
      <c r="AL164" s="77"/>
      <c r="AM164" s="77"/>
      <c r="AN164" s="77"/>
      <c r="AO164" s="77"/>
      <c r="AP164" s="77"/>
      <c r="AQ164" s="77"/>
      <c r="AR164" s="77"/>
      <c r="AS164" s="77"/>
      <c r="AT164" s="77"/>
      <c r="AU164" s="77"/>
      <c r="AV164" s="77"/>
      <c r="AW164" s="77"/>
      <c r="AX164" s="77"/>
      <c r="AZ164" s="60"/>
      <c r="BA164" s="57"/>
      <c r="BB164" s="89"/>
    </row>
    <row r="165" spans="1:54" hidden="1">
      <c r="A165" s="57">
        <v>112</v>
      </c>
      <c r="B165" s="39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77"/>
      <c r="AB165" s="77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W165" s="77"/>
      <c r="AX165" s="77"/>
      <c r="AZ165" s="60"/>
      <c r="BA165" s="57"/>
      <c r="BB165" s="89"/>
    </row>
    <row r="166" spans="1:54" hidden="1">
      <c r="A166" s="57">
        <v>113</v>
      </c>
      <c r="B166" s="39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77"/>
      <c r="AB166" s="77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W166" s="77"/>
      <c r="AX166" s="77"/>
      <c r="AZ166" s="60"/>
      <c r="BA166" s="57"/>
      <c r="BB166" s="89"/>
    </row>
    <row r="167" spans="1:54" hidden="1">
      <c r="A167" s="57">
        <v>114</v>
      </c>
      <c r="B167" s="39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77"/>
      <c r="AB167" s="77"/>
      <c r="AC167" s="77"/>
      <c r="AD167" s="77"/>
      <c r="AE167" s="77"/>
      <c r="AF167" s="77"/>
      <c r="AG167" s="77"/>
      <c r="AH167" s="77"/>
      <c r="AI167" s="77"/>
      <c r="AJ167" s="77"/>
      <c r="AK167" s="77"/>
      <c r="AL167" s="77"/>
      <c r="AM167" s="77"/>
      <c r="AN167" s="77"/>
      <c r="AO167" s="77"/>
      <c r="AP167" s="77"/>
      <c r="AQ167" s="77"/>
      <c r="AR167" s="77"/>
      <c r="AS167" s="77"/>
      <c r="AT167" s="77"/>
      <c r="AU167" s="77"/>
      <c r="AV167" s="77"/>
      <c r="AW167" s="77"/>
      <c r="AX167" s="77"/>
      <c r="AZ167" s="60"/>
      <c r="BA167" s="57"/>
      <c r="BB167" s="89"/>
    </row>
    <row r="168" spans="1:54" hidden="1">
      <c r="A168" s="57">
        <v>115</v>
      </c>
      <c r="B168" s="39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77"/>
      <c r="AB168" s="77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W168" s="77"/>
      <c r="AX168" s="77"/>
      <c r="AZ168" s="60"/>
      <c r="BA168" s="57"/>
      <c r="BB168" s="89"/>
    </row>
    <row r="169" spans="1:54">
      <c r="A169" s="57">
        <f>'24hr SPS'!A169</f>
        <v>0</v>
      </c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Z169" s="60"/>
      <c r="BA169" s="57"/>
      <c r="BB169" s="89"/>
    </row>
  </sheetData>
  <mergeCells count="26">
    <mergeCell ref="I14:U14"/>
    <mergeCell ref="K4:L4"/>
    <mergeCell ref="K5:L5"/>
    <mergeCell ref="K3:L3"/>
    <mergeCell ref="G7:H7"/>
    <mergeCell ref="G50:H50"/>
    <mergeCell ref="C15:D15"/>
    <mergeCell ref="G10:H10"/>
    <mergeCell ref="G11:H11"/>
    <mergeCell ref="G8:H8"/>
    <mergeCell ref="R33:U33"/>
    <mergeCell ref="I33:L33"/>
    <mergeCell ref="A2:E2"/>
    <mergeCell ref="G2:H2"/>
    <mergeCell ref="A3:A4"/>
    <mergeCell ref="B3:C3"/>
    <mergeCell ref="D3:D4"/>
    <mergeCell ref="E3:E4"/>
    <mergeCell ref="G3:H3"/>
    <mergeCell ref="G4:H4"/>
    <mergeCell ref="G9:H9"/>
    <mergeCell ref="G12:H12"/>
    <mergeCell ref="N2:O2"/>
    <mergeCell ref="G5:H5"/>
    <mergeCell ref="G6:H6"/>
    <mergeCell ref="N33:Q33"/>
  </mergeCells>
  <phoneticPr fontId="21" type="noConversion"/>
  <conditionalFormatting sqref="BA53:BA169">
    <cfRule type="top10" dxfId="12" priority="9" rank="1"/>
  </conditionalFormatting>
  <conditionalFormatting sqref="AA53:AL157">
    <cfRule type="expression" dxfId="11" priority="4">
      <formula>AND(AA53&lt;&gt;"",ISNUMBER(AA53),AA53&gt;=0)</formula>
    </cfRule>
  </conditionalFormatting>
  <conditionalFormatting sqref="AM53:AX169">
    <cfRule type="expression" dxfId="10" priority="3">
      <formula>AND(AM53&lt;&gt;"",ISNUMBER(AM53),AM53&gt;=0)</formula>
    </cfRule>
  </conditionalFormatting>
  <conditionalFormatting sqref="C53:N96">
    <cfRule type="expression" dxfId="9" priority="2">
      <formula>AND(C53&lt;&gt;"",ISNUMBER(C53),C53&gt;=0)</formula>
    </cfRule>
  </conditionalFormatting>
  <conditionalFormatting sqref="O53:Z108">
    <cfRule type="expression" dxfId="8" priority="1">
      <formula>AND(O53&lt;&gt;"",ISNUMBER(O53),O53&gt;=0)</formula>
    </cfRule>
  </conditionalFormatting>
  <pageMargins left="0.7" right="0.7" top="0.75" bottom="0.75" header="0.3" footer="0.3"/>
  <pageSetup orientation="portrait" r:id="rId1"/>
  <ignoredErrors>
    <ignoredError sqref="N16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D2DB0-68F5-4C72-9082-7A192BE6DA35}">
  <sheetPr codeName="Sheet4"/>
  <dimension ref="A2:CC772"/>
  <sheetViews>
    <sheetView topLeftCell="A46" zoomScale="55" zoomScaleNormal="55" workbookViewId="0">
      <selection activeCell="M11" sqref="M11"/>
    </sheetView>
  </sheetViews>
  <sheetFormatPr defaultRowHeight="14.4"/>
  <cols>
    <col min="2" max="2" width="19.109375" customWidth="1"/>
    <col min="4" max="4" width="11.33203125" customWidth="1"/>
    <col min="5" max="5" width="11.21875" customWidth="1"/>
    <col min="6" max="6" width="13.44140625" customWidth="1"/>
    <col min="7" max="7" width="20.109375" customWidth="1"/>
    <col min="8" max="8" width="25" customWidth="1"/>
    <col min="9" max="9" width="12.21875" customWidth="1"/>
    <col min="10" max="10" width="14.5546875" customWidth="1"/>
    <col min="11" max="11" width="16.21875" customWidth="1"/>
    <col min="12" max="12" width="15" customWidth="1"/>
    <col min="13" max="13" width="14.6640625" customWidth="1"/>
    <col min="14" max="14" width="16.6640625" customWidth="1"/>
    <col min="15" max="15" width="21" customWidth="1"/>
    <col min="16" max="16" width="12" customWidth="1"/>
    <col min="17" max="17" width="13.5546875" customWidth="1"/>
    <col min="18" max="18" width="13.33203125" customWidth="1"/>
    <col min="19" max="19" width="12.5546875" customWidth="1"/>
    <col min="20" max="20" width="11.33203125" customWidth="1"/>
    <col min="21" max="21" width="10.88671875" customWidth="1"/>
    <col min="22" max="23" width="11.88671875" customWidth="1"/>
    <col min="24" max="24" width="11.44140625" customWidth="1"/>
    <col min="25" max="25" width="11.33203125" customWidth="1"/>
    <col min="26" max="26" width="11.6640625" customWidth="1"/>
    <col min="27" max="27" width="12.44140625" customWidth="1"/>
    <col min="29" max="29" width="14.88671875" customWidth="1"/>
    <col min="75" max="75" width="13.33203125" customWidth="1"/>
    <col min="77" max="77" width="17.5546875" customWidth="1"/>
    <col min="78" max="78" width="5.6640625" bestFit="1" customWidth="1"/>
    <col min="79" max="79" width="18.5546875" bestFit="1" customWidth="1"/>
    <col min="80" max="80" width="12.6640625" bestFit="1" customWidth="1"/>
    <col min="81" max="81" width="7.44140625" bestFit="1" customWidth="1"/>
  </cols>
  <sheetData>
    <row r="2" spans="1:27">
      <c r="A2" s="151" t="s">
        <v>973</v>
      </c>
      <c r="B2" s="151"/>
      <c r="C2" s="151"/>
      <c r="D2" s="151"/>
      <c r="E2" s="151"/>
      <c r="G2" s="163" t="s">
        <v>178</v>
      </c>
      <c r="H2" s="163"/>
      <c r="I2" s="125">
        <f>E8/10</f>
        <v>74.549872292350813</v>
      </c>
      <c r="J2" s="39" t="s">
        <v>103</v>
      </c>
      <c r="N2" s="151" t="s">
        <v>175</v>
      </c>
      <c r="O2" s="151"/>
    </row>
    <row r="3" spans="1:27">
      <c r="A3" s="164" t="s">
        <v>105</v>
      </c>
      <c r="B3" s="151" t="s">
        <v>108</v>
      </c>
      <c r="C3" s="151"/>
      <c r="D3" s="164" t="s">
        <v>109</v>
      </c>
      <c r="E3" s="164" t="s">
        <v>110</v>
      </c>
      <c r="G3" s="162" t="s">
        <v>113</v>
      </c>
      <c r="H3" s="162"/>
      <c r="I3" s="126">
        <v>1.1499999999999999</v>
      </c>
      <c r="J3" s="39"/>
      <c r="K3" s="155" t="s">
        <v>1000</v>
      </c>
      <c r="L3" s="156"/>
      <c r="N3" s="118" t="s">
        <v>176</v>
      </c>
      <c r="O3" s="118" t="s">
        <v>177</v>
      </c>
    </row>
    <row r="4" spans="1:27">
      <c r="A4" s="164"/>
      <c r="B4" s="118" t="s">
        <v>106</v>
      </c>
      <c r="C4" s="118" t="s">
        <v>107</v>
      </c>
      <c r="D4" s="164"/>
      <c r="E4" s="164"/>
      <c r="G4" s="162" t="s">
        <v>114</v>
      </c>
      <c r="H4" s="162"/>
      <c r="I4" s="126">
        <v>1.1200000000000001</v>
      </c>
      <c r="J4" s="39"/>
      <c r="K4" s="155" t="s">
        <v>1001</v>
      </c>
      <c r="L4" s="156"/>
      <c r="N4" s="40">
        <v>500</v>
      </c>
      <c r="O4" s="40">
        <v>0.96</v>
      </c>
    </row>
    <row r="5" spans="1:27">
      <c r="A5" s="77">
        <v>98.089624740000005</v>
      </c>
      <c r="B5" s="40">
        <v>730</v>
      </c>
      <c r="C5" s="40">
        <v>740</v>
      </c>
      <c r="D5" s="40">
        <v>735</v>
      </c>
      <c r="E5" s="77">
        <v>82.3570857949545</v>
      </c>
      <c r="G5" s="162" t="s">
        <v>115</v>
      </c>
      <c r="H5" s="162"/>
      <c r="I5" s="127">
        <f>_xlfn.FORECAST.LINEAR(SUH!$Y$11,$O$4:$O$10,$N$4:$N$10)</f>
        <v>0.94576774405286346</v>
      </c>
      <c r="J5" s="39"/>
      <c r="K5" s="155" t="s">
        <v>1002</v>
      </c>
      <c r="L5" s="156"/>
      <c r="N5" s="40">
        <v>1000</v>
      </c>
      <c r="O5" s="40">
        <v>0.94</v>
      </c>
    </row>
    <row r="6" spans="1:27">
      <c r="A6" s="77">
        <v>635.56809815999998</v>
      </c>
      <c r="B6" s="40">
        <v>740</v>
      </c>
      <c r="C6" s="40">
        <v>750</v>
      </c>
      <c r="D6" s="40">
        <v>745</v>
      </c>
      <c r="E6" s="77">
        <v>540.88996147145997</v>
      </c>
      <c r="G6" s="162" t="s">
        <v>212</v>
      </c>
      <c r="H6" s="162"/>
      <c r="I6" s="128">
        <f>I2*I3*I5</f>
        <v>81.082894217970548</v>
      </c>
      <c r="J6" s="39" t="s">
        <v>103</v>
      </c>
      <c r="N6" s="40">
        <v>1500</v>
      </c>
      <c r="O6" s="40">
        <v>0.93</v>
      </c>
    </row>
    <row r="7" spans="1:27">
      <c r="A7" s="77">
        <v>141.748120908</v>
      </c>
      <c r="B7" s="40">
        <v>750</v>
      </c>
      <c r="C7" s="40">
        <v>760</v>
      </c>
      <c r="D7" s="40">
        <v>755</v>
      </c>
      <c r="E7" s="77">
        <v>122.25167565709366</v>
      </c>
      <c r="G7" s="162" t="s">
        <v>213</v>
      </c>
      <c r="H7" s="162"/>
      <c r="I7" s="128">
        <f>I6*I4</f>
        <v>90.812841524127023</v>
      </c>
      <c r="J7" s="39"/>
      <c r="N7" s="40">
        <v>2000</v>
      </c>
      <c r="O7" s="40">
        <v>0.92</v>
      </c>
    </row>
    <row r="8" spans="1:27">
      <c r="A8" s="90">
        <v>875.40584380799999</v>
      </c>
      <c r="B8" s="42"/>
      <c r="C8" s="42"/>
      <c r="D8" s="42"/>
      <c r="E8" s="90">
        <v>745.49872292350813</v>
      </c>
      <c r="G8" s="130" t="s">
        <v>190</v>
      </c>
      <c r="H8" s="130"/>
      <c r="I8" s="131">
        <f>'PMP 12hr Bell depth'!I3*0.1</f>
        <v>33.947643298231874</v>
      </c>
      <c r="J8" s="39" t="s">
        <v>103</v>
      </c>
      <c r="N8" s="40">
        <v>3000</v>
      </c>
      <c r="O8" s="40">
        <v>0.9</v>
      </c>
    </row>
    <row r="9" spans="1:27">
      <c r="A9" s="55"/>
      <c r="B9" s="29"/>
      <c r="C9" s="29"/>
      <c r="D9" s="29"/>
      <c r="E9" s="55"/>
      <c r="G9" s="130" t="s">
        <v>191</v>
      </c>
      <c r="H9" s="130"/>
      <c r="I9" s="131">
        <f>'PMP 12hr Bell depth'!J3*0.1</f>
        <v>12.555977658250146</v>
      </c>
      <c r="J9" s="39" t="s">
        <v>103</v>
      </c>
      <c r="N9" s="40">
        <v>4000</v>
      </c>
      <c r="O9" s="40">
        <v>0.88</v>
      </c>
    </row>
    <row r="10" spans="1:27">
      <c r="A10" s="55"/>
      <c r="B10" s="29"/>
      <c r="C10" s="29"/>
      <c r="D10" s="29"/>
      <c r="E10" s="55"/>
      <c r="G10" s="130" t="s">
        <v>192</v>
      </c>
      <c r="H10" s="130"/>
      <c r="I10" s="131">
        <f>'PMP 12hr Bell depth'!K3*0.1</f>
        <v>11.707470272200558</v>
      </c>
      <c r="J10" s="39" t="s">
        <v>103</v>
      </c>
      <c r="N10" s="40">
        <v>5000</v>
      </c>
      <c r="O10" s="40">
        <v>0.86</v>
      </c>
    </row>
    <row r="11" spans="1:27">
      <c r="A11" s="55"/>
      <c r="B11" s="29"/>
      <c r="C11" s="29"/>
      <c r="D11" s="29"/>
      <c r="E11" s="55"/>
      <c r="G11" s="130" t="s">
        <v>193</v>
      </c>
      <c r="H11" s="130"/>
      <c r="I11" s="131">
        <f>'PMP 12hr Bell depth'!L3*0.1</f>
        <v>4.3301602376632209</v>
      </c>
      <c r="J11" s="39" t="s">
        <v>103</v>
      </c>
    </row>
    <row r="12" spans="1:27">
      <c r="A12" s="55"/>
      <c r="B12" s="29"/>
      <c r="C12" s="29"/>
      <c r="D12" s="29"/>
      <c r="E12" s="55"/>
      <c r="G12" s="130" t="s">
        <v>210</v>
      </c>
      <c r="H12" s="130"/>
      <c r="I12" s="131">
        <f>'PMP 12hr Bell depth'!M3*0.1</f>
        <v>20.638260742180293</v>
      </c>
      <c r="J12" s="39" t="s">
        <v>103</v>
      </c>
    </row>
    <row r="13" spans="1:27">
      <c r="A13" s="55"/>
      <c r="B13" s="29"/>
      <c r="C13" s="29"/>
      <c r="D13" s="29"/>
      <c r="E13" s="55"/>
      <c r="G13" s="130" t="s">
        <v>211</v>
      </c>
      <c r="H13" s="130"/>
      <c r="I13" s="131">
        <f>'PMP 12hr Bell depth'!N3*0.1</f>
        <v>7.6333293156009319</v>
      </c>
      <c r="J13" s="39" t="s">
        <v>103</v>
      </c>
    </row>
    <row r="14" spans="1:27">
      <c r="A14" s="111"/>
      <c r="B14" s="29"/>
      <c r="C14" s="29"/>
      <c r="D14" s="29"/>
      <c r="E14" s="111"/>
      <c r="G14" s="162" t="s">
        <v>119</v>
      </c>
      <c r="H14" s="162"/>
      <c r="I14" s="132" t="s">
        <v>120</v>
      </c>
      <c r="J14" s="39"/>
    </row>
    <row r="15" spans="1:27" ht="14.4" customHeight="1">
      <c r="B15" s="43"/>
      <c r="I15" s="150" t="s">
        <v>133</v>
      </c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  <c r="AA15" s="150"/>
    </row>
    <row r="16" spans="1:27" ht="59.4" customHeight="1">
      <c r="A16" s="116" t="s">
        <v>118</v>
      </c>
      <c r="B16" s="117" t="s">
        <v>180</v>
      </c>
      <c r="C16" s="152" t="s">
        <v>179</v>
      </c>
      <c r="D16" s="152"/>
      <c r="I16" s="117" t="s">
        <v>134</v>
      </c>
      <c r="J16" s="117" t="s">
        <v>135</v>
      </c>
      <c r="K16" s="117" t="s">
        <v>136</v>
      </c>
      <c r="L16" s="117" t="s">
        <v>152</v>
      </c>
      <c r="M16" s="117" t="s">
        <v>153</v>
      </c>
      <c r="N16" s="117" t="s">
        <v>154</v>
      </c>
      <c r="O16" s="117" t="s">
        <v>155</v>
      </c>
      <c r="P16" s="117" t="s">
        <v>137</v>
      </c>
      <c r="Q16" s="117" t="s">
        <v>138</v>
      </c>
      <c r="R16" s="117" t="s">
        <v>156</v>
      </c>
      <c r="S16" s="117" t="s">
        <v>157</v>
      </c>
      <c r="T16" s="117" t="s">
        <v>158</v>
      </c>
      <c r="U16" s="117" t="s">
        <v>159</v>
      </c>
      <c r="V16" s="117" t="s">
        <v>139</v>
      </c>
      <c r="W16" s="117" t="s">
        <v>140</v>
      </c>
      <c r="X16" s="117" t="s">
        <v>160</v>
      </c>
      <c r="Y16" s="117" t="s">
        <v>161</v>
      </c>
      <c r="Z16" s="117" t="s">
        <v>162</v>
      </c>
      <c r="AA16" s="117" t="s">
        <v>163</v>
      </c>
    </row>
    <row r="17" spans="1:27">
      <c r="A17" s="45">
        <v>1</v>
      </c>
      <c r="B17" s="46">
        <f>Sheet3!N4</f>
        <v>15.1</v>
      </c>
      <c r="C17" s="47">
        <f>B17/$B$28</f>
        <v>0.20684931506849313</v>
      </c>
      <c r="D17" s="85">
        <v>21</v>
      </c>
      <c r="I17" s="45">
        <v>1</v>
      </c>
      <c r="J17" s="45">
        <f t="shared" ref="J17:J28" si="0">D17</f>
        <v>21</v>
      </c>
      <c r="K17" s="45">
        <f t="shared" ref="K17:K28" si="1">D17</f>
        <v>21</v>
      </c>
      <c r="L17" s="40">
        <f>J17</f>
        <v>21</v>
      </c>
      <c r="M17" s="40">
        <f>K17</f>
        <v>21</v>
      </c>
      <c r="N17" s="40">
        <f>M17</f>
        <v>21</v>
      </c>
      <c r="O17" s="40">
        <f>N17</f>
        <v>21</v>
      </c>
      <c r="P17" s="45">
        <f>K17</f>
        <v>21</v>
      </c>
      <c r="Q17" s="45">
        <f>P17</f>
        <v>21</v>
      </c>
      <c r="R17" s="45">
        <f t="shared" ref="R17:U17" si="2">Q17</f>
        <v>21</v>
      </c>
      <c r="S17" s="45">
        <f t="shared" si="2"/>
        <v>21</v>
      </c>
      <c r="T17" s="45">
        <f t="shared" si="2"/>
        <v>21</v>
      </c>
      <c r="U17" s="45">
        <f t="shared" si="2"/>
        <v>21</v>
      </c>
      <c r="V17" s="50">
        <f>(P17*$I$8)/100</f>
        <v>7.1290050926286934</v>
      </c>
      <c r="W17" s="50">
        <f>(Q17*$I$9)/100</f>
        <v>2.636755308232531</v>
      </c>
      <c r="X17" s="50">
        <f>(T17*$I$10)/100</f>
        <v>2.4585687571621171</v>
      </c>
      <c r="Y17" s="50">
        <f>(U17*$I$11)/100</f>
        <v>0.90933364990927645</v>
      </c>
      <c r="Z17" s="50">
        <f>(T17*$I$12)/100</f>
        <v>4.3340347558578616</v>
      </c>
      <c r="AA17" s="50">
        <f>(U17*$I$13)/100</f>
        <v>1.6029991562761956</v>
      </c>
    </row>
    <row r="18" spans="1:27">
      <c r="A18" s="45">
        <v>2</v>
      </c>
      <c r="B18" s="46">
        <f>Sheet3!N5</f>
        <v>25.5</v>
      </c>
      <c r="C18" s="47">
        <f t="shared" ref="C18:C28" si="3">B18/$B$28</f>
        <v>0.34931506849315069</v>
      </c>
      <c r="D18" s="85">
        <v>35</v>
      </c>
      <c r="I18" s="45">
        <v>2</v>
      </c>
      <c r="J18" s="45">
        <f t="shared" si="0"/>
        <v>35</v>
      </c>
      <c r="K18" s="45">
        <f t="shared" si="1"/>
        <v>35</v>
      </c>
      <c r="L18" s="40">
        <f t="shared" ref="L18:L28" si="4">J18</f>
        <v>35</v>
      </c>
      <c r="M18" s="40">
        <f t="shared" ref="M18:M28" si="5">K18</f>
        <v>35</v>
      </c>
      <c r="N18" s="40">
        <f t="shared" ref="N18:O18" si="6">M18</f>
        <v>35</v>
      </c>
      <c r="O18" s="40">
        <f t="shared" si="6"/>
        <v>35</v>
      </c>
      <c r="P18" s="51">
        <f t="shared" ref="P18:P28" si="7">K18-K17</f>
        <v>14</v>
      </c>
      <c r="Q18" s="51">
        <f t="shared" ref="Q18:Q28" si="8">K18-K17</f>
        <v>14</v>
      </c>
      <c r="R18" s="51">
        <f t="shared" ref="R18:R28" si="9">L18-L17</f>
        <v>14</v>
      </c>
      <c r="S18" s="51">
        <f t="shared" ref="S18:S28" si="10">M18-M17</f>
        <v>14</v>
      </c>
      <c r="T18" s="51">
        <f t="shared" ref="T18:T28" si="11">N18-N17</f>
        <v>14</v>
      </c>
      <c r="U18" s="51">
        <f t="shared" ref="U18:U28" si="12">O18-O17</f>
        <v>14</v>
      </c>
      <c r="V18" s="50">
        <f t="shared" ref="V18:V28" si="13">(P18*$I$8)/100</f>
        <v>4.7526700617524629</v>
      </c>
      <c r="W18" s="50">
        <f t="shared" ref="W18:W28" si="14">(Q18*$I$9)/100</f>
        <v>1.7578368721550206</v>
      </c>
      <c r="X18" s="50">
        <f t="shared" ref="X18:X28" si="15">(T18*$I$10)/100</f>
        <v>1.6390458381080781</v>
      </c>
      <c r="Y18" s="50">
        <f t="shared" ref="Y18:Y28" si="16">(U18*$I$11)/100</f>
        <v>0.60622243327285086</v>
      </c>
      <c r="Z18" s="50">
        <f t="shared" ref="Z18:Z28" si="17">(T18*$I$12)/100</f>
        <v>2.8893565039052409</v>
      </c>
      <c r="AA18" s="50">
        <f t="shared" ref="AA18:AA28" si="18">(U18*$I$13)/100</f>
        <v>1.0686661041841305</v>
      </c>
    </row>
    <row r="19" spans="1:27">
      <c r="A19" s="45">
        <v>3</v>
      </c>
      <c r="B19" s="46">
        <f>Sheet3!N6</f>
        <v>31.6</v>
      </c>
      <c r="C19" s="47">
        <f t="shared" si="3"/>
        <v>0.43287671232876712</v>
      </c>
      <c r="D19" s="85">
        <v>43</v>
      </c>
      <c r="I19" s="45">
        <v>3</v>
      </c>
      <c r="J19" s="45">
        <f t="shared" si="0"/>
        <v>43</v>
      </c>
      <c r="K19" s="45">
        <f t="shared" si="1"/>
        <v>43</v>
      </c>
      <c r="L19" s="40">
        <f t="shared" si="4"/>
        <v>43</v>
      </c>
      <c r="M19" s="40">
        <f t="shared" si="5"/>
        <v>43</v>
      </c>
      <c r="N19" s="40">
        <f t="shared" ref="N19:O19" si="19">M19</f>
        <v>43</v>
      </c>
      <c r="O19" s="40">
        <f t="shared" si="19"/>
        <v>43</v>
      </c>
      <c r="P19" s="51">
        <f t="shared" si="7"/>
        <v>8</v>
      </c>
      <c r="Q19" s="51">
        <f t="shared" si="8"/>
        <v>8</v>
      </c>
      <c r="R19" s="51">
        <f t="shared" si="9"/>
        <v>8</v>
      </c>
      <c r="S19" s="51">
        <f t="shared" si="10"/>
        <v>8</v>
      </c>
      <c r="T19" s="51">
        <f t="shared" si="11"/>
        <v>8</v>
      </c>
      <c r="U19" s="51">
        <f t="shared" si="12"/>
        <v>8</v>
      </c>
      <c r="V19" s="50">
        <f t="shared" si="13"/>
        <v>2.7158114638585498</v>
      </c>
      <c r="W19" s="50">
        <f t="shared" si="14"/>
        <v>1.0044782126600118</v>
      </c>
      <c r="X19" s="50">
        <f t="shared" si="15"/>
        <v>0.93659762177604466</v>
      </c>
      <c r="Y19" s="50">
        <f t="shared" si="16"/>
        <v>0.34641281901305765</v>
      </c>
      <c r="Z19" s="50">
        <f t="shared" si="17"/>
        <v>1.6510608593744234</v>
      </c>
      <c r="AA19" s="50">
        <f t="shared" si="18"/>
        <v>0.6106663452480745</v>
      </c>
    </row>
    <row r="20" spans="1:27">
      <c r="A20" s="45">
        <v>4</v>
      </c>
      <c r="B20" s="46">
        <f>Sheet3!N7</f>
        <v>36.9</v>
      </c>
      <c r="C20" s="47">
        <f t="shared" si="3"/>
        <v>0.5054794520547945</v>
      </c>
      <c r="D20" s="85">
        <v>51</v>
      </c>
      <c r="I20" s="45">
        <v>4</v>
      </c>
      <c r="J20" s="45">
        <f t="shared" si="0"/>
        <v>51</v>
      </c>
      <c r="K20" s="45">
        <f t="shared" si="1"/>
        <v>51</v>
      </c>
      <c r="L20" s="40">
        <f t="shared" si="4"/>
        <v>51</v>
      </c>
      <c r="M20" s="40">
        <f t="shared" si="5"/>
        <v>51</v>
      </c>
      <c r="N20" s="40">
        <f t="shared" ref="N20:O20" si="20">M20</f>
        <v>51</v>
      </c>
      <c r="O20" s="40">
        <f t="shared" si="20"/>
        <v>51</v>
      </c>
      <c r="P20" s="51">
        <f t="shared" si="7"/>
        <v>8</v>
      </c>
      <c r="Q20" s="51">
        <f t="shared" si="8"/>
        <v>8</v>
      </c>
      <c r="R20" s="51">
        <f t="shared" si="9"/>
        <v>8</v>
      </c>
      <c r="S20" s="51">
        <f t="shared" si="10"/>
        <v>8</v>
      </c>
      <c r="T20" s="51">
        <f t="shared" si="11"/>
        <v>8</v>
      </c>
      <c r="U20" s="51">
        <f t="shared" si="12"/>
        <v>8</v>
      </c>
      <c r="V20" s="50">
        <f t="shared" si="13"/>
        <v>2.7158114638585498</v>
      </c>
      <c r="W20" s="50">
        <f t="shared" si="14"/>
        <v>1.0044782126600118</v>
      </c>
      <c r="X20" s="50">
        <f t="shared" si="15"/>
        <v>0.93659762177604466</v>
      </c>
      <c r="Y20" s="50">
        <f t="shared" si="16"/>
        <v>0.34641281901305765</v>
      </c>
      <c r="Z20" s="50">
        <f t="shared" si="17"/>
        <v>1.6510608593744234</v>
      </c>
      <c r="AA20" s="50">
        <f t="shared" si="18"/>
        <v>0.6106663452480745</v>
      </c>
    </row>
    <row r="21" spans="1:27">
      <c r="A21" s="45">
        <v>5</v>
      </c>
      <c r="B21" s="46">
        <f>Sheet3!N8</f>
        <v>42.2</v>
      </c>
      <c r="C21" s="47">
        <f t="shared" si="3"/>
        <v>0.57808219178082199</v>
      </c>
      <c r="D21" s="85">
        <v>58</v>
      </c>
      <c r="I21" s="45">
        <v>5</v>
      </c>
      <c r="J21" s="45">
        <f t="shared" si="0"/>
        <v>58</v>
      </c>
      <c r="K21" s="45">
        <f t="shared" si="1"/>
        <v>58</v>
      </c>
      <c r="L21" s="40">
        <f t="shared" si="4"/>
        <v>58</v>
      </c>
      <c r="M21" s="40">
        <f t="shared" si="5"/>
        <v>58</v>
      </c>
      <c r="N21" s="40">
        <f t="shared" ref="N21:O21" si="21">M21</f>
        <v>58</v>
      </c>
      <c r="O21" s="40">
        <f t="shared" si="21"/>
        <v>58</v>
      </c>
      <c r="P21" s="51">
        <f t="shared" si="7"/>
        <v>7</v>
      </c>
      <c r="Q21" s="51">
        <f t="shared" si="8"/>
        <v>7</v>
      </c>
      <c r="R21" s="51">
        <f t="shared" si="9"/>
        <v>7</v>
      </c>
      <c r="S21" s="51">
        <f t="shared" si="10"/>
        <v>7</v>
      </c>
      <c r="T21" s="51">
        <f t="shared" si="11"/>
        <v>7</v>
      </c>
      <c r="U21" s="51">
        <f t="shared" si="12"/>
        <v>7</v>
      </c>
      <c r="V21" s="50">
        <f t="shared" si="13"/>
        <v>2.3763350308762314</v>
      </c>
      <c r="W21" s="50">
        <f t="shared" si="14"/>
        <v>0.8789184360775103</v>
      </c>
      <c r="X21" s="50">
        <f t="shared" si="15"/>
        <v>0.81952291905403907</v>
      </c>
      <c r="Y21" s="50">
        <f t="shared" si="16"/>
        <v>0.30311121663642543</v>
      </c>
      <c r="Z21" s="50">
        <f t="shared" si="17"/>
        <v>1.4446782519526205</v>
      </c>
      <c r="AA21" s="50">
        <f t="shared" si="18"/>
        <v>0.53433305209206527</v>
      </c>
    </row>
    <row r="22" spans="1:27">
      <c r="A22" s="45">
        <v>6</v>
      </c>
      <c r="B22" s="46">
        <f>Sheet3!N9</f>
        <v>47.1</v>
      </c>
      <c r="C22" s="47">
        <f t="shared" si="3"/>
        <v>0.64520547945205486</v>
      </c>
      <c r="D22" s="85">
        <v>65</v>
      </c>
      <c r="I22" s="45">
        <v>6</v>
      </c>
      <c r="J22" s="45">
        <f t="shared" si="0"/>
        <v>65</v>
      </c>
      <c r="K22" s="45">
        <f t="shared" si="1"/>
        <v>65</v>
      </c>
      <c r="L22" s="40">
        <f t="shared" si="4"/>
        <v>65</v>
      </c>
      <c r="M22" s="40">
        <f t="shared" si="5"/>
        <v>65</v>
      </c>
      <c r="N22" s="40">
        <f t="shared" ref="N22:O22" si="22">M22</f>
        <v>65</v>
      </c>
      <c r="O22" s="40">
        <f t="shared" si="22"/>
        <v>65</v>
      </c>
      <c r="P22" s="51">
        <f t="shared" si="7"/>
        <v>7</v>
      </c>
      <c r="Q22" s="51">
        <f t="shared" si="8"/>
        <v>7</v>
      </c>
      <c r="R22" s="51">
        <f t="shared" si="9"/>
        <v>7</v>
      </c>
      <c r="S22" s="51">
        <f t="shared" si="10"/>
        <v>7</v>
      </c>
      <c r="T22" s="51">
        <f t="shared" si="11"/>
        <v>7</v>
      </c>
      <c r="U22" s="51">
        <f t="shared" si="12"/>
        <v>7</v>
      </c>
      <c r="V22" s="50">
        <f t="shared" si="13"/>
        <v>2.3763350308762314</v>
      </c>
      <c r="W22" s="50">
        <f t="shared" si="14"/>
        <v>0.8789184360775103</v>
      </c>
      <c r="X22" s="50">
        <f t="shared" si="15"/>
        <v>0.81952291905403907</v>
      </c>
      <c r="Y22" s="50">
        <f t="shared" si="16"/>
        <v>0.30311121663642543</v>
      </c>
      <c r="Z22" s="50">
        <f t="shared" si="17"/>
        <v>1.4446782519526205</v>
      </c>
      <c r="AA22" s="50">
        <f t="shared" si="18"/>
        <v>0.53433305209206527</v>
      </c>
    </row>
    <row r="23" spans="1:27">
      <c r="A23" s="45">
        <v>7</v>
      </c>
      <c r="B23" s="46">
        <f>Sheet3!N10</f>
        <v>51.8</v>
      </c>
      <c r="C23" s="47">
        <f t="shared" si="3"/>
        <v>0.70958904109589038</v>
      </c>
      <c r="D23" s="85">
        <v>71</v>
      </c>
      <c r="I23" s="45">
        <v>7</v>
      </c>
      <c r="J23" s="45">
        <f t="shared" si="0"/>
        <v>71</v>
      </c>
      <c r="K23" s="45">
        <f t="shared" si="1"/>
        <v>71</v>
      </c>
      <c r="L23" s="40">
        <f t="shared" si="4"/>
        <v>71</v>
      </c>
      <c r="M23" s="40">
        <f t="shared" si="5"/>
        <v>71</v>
      </c>
      <c r="N23" s="40">
        <f t="shared" ref="N23:O23" si="23">M23</f>
        <v>71</v>
      </c>
      <c r="O23" s="40">
        <f t="shared" si="23"/>
        <v>71</v>
      </c>
      <c r="P23" s="51">
        <f t="shared" si="7"/>
        <v>6</v>
      </c>
      <c r="Q23" s="51">
        <f t="shared" si="8"/>
        <v>6</v>
      </c>
      <c r="R23" s="51">
        <f t="shared" si="9"/>
        <v>6</v>
      </c>
      <c r="S23" s="51">
        <f t="shared" si="10"/>
        <v>6</v>
      </c>
      <c r="T23" s="51">
        <f t="shared" si="11"/>
        <v>6</v>
      </c>
      <c r="U23" s="51">
        <f t="shared" si="12"/>
        <v>6</v>
      </c>
      <c r="V23" s="50">
        <f t="shared" si="13"/>
        <v>2.0368585978939127</v>
      </c>
      <c r="W23" s="50">
        <f t="shared" si="14"/>
        <v>0.7533586594950088</v>
      </c>
      <c r="X23" s="50">
        <f t="shared" si="15"/>
        <v>0.70244821633203347</v>
      </c>
      <c r="Y23" s="50">
        <f t="shared" si="16"/>
        <v>0.25980961425979321</v>
      </c>
      <c r="Z23" s="50">
        <f t="shared" si="17"/>
        <v>1.2382956445308175</v>
      </c>
      <c r="AA23" s="50">
        <f t="shared" si="18"/>
        <v>0.45799975893605593</v>
      </c>
    </row>
    <row r="24" spans="1:27">
      <c r="A24" s="45">
        <v>8</v>
      </c>
      <c r="B24" s="46">
        <f>Sheet3!N11</f>
        <v>56.4</v>
      </c>
      <c r="C24" s="47">
        <f t="shared" si="3"/>
        <v>0.77260273972602733</v>
      </c>
      <c r="D24" s="85">
        <v>77</v>
      </c>
      <c r="I24" s="45">
        <v>8</v>
      </c>
      <c r="J24" s="45">
        <f t="shared" si="0"/>
        <v>77</v>
      </c>
      <c r="K24" s="45">
        <f t="shared" si="1"/>
        <v>77</v>
      </c>
      <c r="L24" s="40">
        <f t="shared" si="4"/>
        <v>77</v>
      </c>
      <c r="M24" s="40">
        <f t="shared" si="5"/>
        <v>77</v>
      </c>
      <c r="N24" s="40">
        <f t="shared" ref="N24:O24" si="24">M24</f>
        <v>77</v>
      </c>
      <c r="O24" s="40">
        <f t="shared" si="24"/>
        <v>77</v>
      </c>
      <c r="P24" s="51">
        <f t="shared" si="7"/>
        <v>6</v>
      </c>
      <c r="Q24" s="51">
        <f t="shared" si="8"/>
        <v>6</v>
      </c>
      <c r="R24" s="51">
        <f t="shared" si="9"/>
        <v>6</v>
      </c>
      <c r="S24" s="51">
        <f t="shared" si="10"/>
        <v>6</v>
      </c>
      <c r="T24" s="51">
        <f t="shared" si="11"/>
        <v>6</v>
      </c>
      <c r="U24" s="51">
        <f t="shared" si="12"/>
        <v>6</v>
      </c>
      <c r="V24" s="50">
        <f t="shared" si="13"/>
        <v>2.0368585978939127</v>
      </c>
      <c r="W24" s="50">
        <f t="shared" si="14"/>
        <v>0.7533586594950088</v>
      </c>
      <c r="X24" s="50">
        <f t="shared" si="15"/>
        <v>0.70244821633203347</v>
      </c>
      <c r="Y24" s="50">
        <f t="shared" si="16"/>
        <v>0.25980961425979321</v>
      </c>
      <c r="Z24" s="50">
        <f t="shared" si="17"/>
        <v>1.2382956445308175</v>
      </c>
      <c r="AA24" s="50">
        <f t="shared" si="18"/>
        <v>0.45799975893605593</v>
      </c>
    </row>
    <row r="25" spans="1:27">
      <c r="A25" s="45">
        <v>9</v>
      </c>
      <c r="B25" s="46">
        <f>Sheet3!N12</f>
        <v>60.8</v>
      </c>
      <c r="C25" s="47">
        <f t="shared" si="3"/>
        <v>0.83287671232876703</v>
      </c>
      <c r="D25" s="85">
        <v>83</v>
      </c>
      <c r="I25" s="45">
        <v>9</v>
      </c>
      <c r="J25" s="45">
        <f t="shared" si="0"/>
        <v>83</v>
      </c>
      <c r="K25" s="45">
        <f t="shared" si="1"/>
        <v>83</v>
      </c>
      <c r="L25" s="40">
        <f t="shared" si="4"/>
        <v>83</v>
      </c>
      <c r="M25" s="40">
        <f t="shared" si="5"/>
        <v>83</v>
      </c>
      <c r="N25" s="40">
        <f t="shared" ref="N25:O25" si="25">M25</f>
        <v>83</v>
      </c>
      <c r="O25" s="40">
        <f t="shared" si="25"/>
        <v>83</v>
      </c>
      <c r="P25" s="51">
        <f t="shared" si="7"/>
        <v>6</v>
      </c>
      <c r="Q25" s="51">
        <f t="shared" si="8"/>
        <v>6</v>
      </c>
      <c r="R25" s="51">
        <f t="shared" si="9"/>
        <v>6</v>
      </c>
      <c r="S25" s="51">
        <f t="shared" si="10"/>
        <v>6</v>
      </c>
      <c r="T25" s="51">
        <f t="shared" si="11"/>
        <v>6</v>
      </c>
      <c r="U25" s="51">
        <f t="shared" si="12"/>
        <v>6</v>
      </c>
      <c r="V25" s="50">
        <f t="shared" si="13"/>
        <v>2.0368585978939127</v>
      </c>
      <c r="W25" s="50">
        <f t="shared" si="14"/>
        <v>0.7533586594950088</v>
      </c>
      <c r="X25" s="50">
        <f t="shared" si="15"/>
        <v>0.70244821633203347</v>
      </c>
      <c r="Y25" s="50">
        <f t="shared" si="16"/>
        <v>0.25980961425979321</v>
      </c>
      <c r="Z25" s="50">
        <f t="shared" si="17"/>
        <v>1.2382956445308175</v>
      </c>
      <c r="AA25" s="50">
        <f t="shared" si="18"/>
        <v>0.45799975893605593</v>
      </c>
    </row>
    <row r="26" spans="1:27">
      <c r="A26" s="45">
        <v>10</v>
      </c>
      <c r="B26" s="46">
        <f>Sheet3!N13</f>
        <v>65.2</v>
      </c>
      <c r="C26" s="47">
        <f t="shared" si="3"/>
        <v>0.89315068493150684</v>
      </c>
      <c r="D26" s="85">
        <v>89</v>
      </c>
      <c r="I26" s="45">
        <v>10</v>
      </c>
      <c r="J26" s="45">
        <f t="shared" si="0"/>
        <v>89</v>
      </c>
      <c r="K26" s="45">
        <f t="shared" si="1"/>
        <v>89</v>
      </c>
      <c r="L26" s="40">
        <f t="shared" si="4"/>
        <v>89</v>
      </c>
      <c r="M26" s="40">
        <f t="shared" si="5"/>
        <v>89</v>
      </c>
      <c r="N26" s="40">
        <f t="shared" ref="N26:O26" si="26">M26</f>
        <v>89</v>
      </c>
      <c r="O26" s="40">
        <f t="shared" si="26"/>
        <v>89</v>
      </c>
      <c r="P26" s="51">
        <f t="shared" si="7"/>
        <v>6</v>
      </c>
      <c r="Q26" s="51">
        <f t="shared" si="8"/>
        <v>6</v>
      </c>
      <c r="R26" s="51">
        <f t="shared" si="9"/>
        <v>6</v>
      </c>
      <c r="S26" s="51">
        <f t="shared" si="10"/>
        <v>6</v>
      </c>
      <c r="T26" s="51">
        <f t="shared" si="11"/>
        <v>6</v>
      </c>
      <c r="U26" s="51">
        <f t="shared" si="12"/>
        <v>6</v>
      </c>
      <c r="V26" s="50">
        <f t="shared" si="13"/>
        <v>2.0368585978939127</v>
      </c>
      <c r="W26" s="50">
        <f t="shared" si="14"/>
        <v>0.7533586594950088</v>
      </c>
      <c r="X26" s="50">
        <f t="shared" si="15"/>
        <v>0.70244821633203347</v>
      </c>
      <c r="Y26" s="50">
        <f t="shared" si="16"/>
        <v>0.25980961425979321</v>
      </c>
      <c r="Z26" s="50">
        <f t="shared" si="17"/>
        <v>1.2382956445308175</v>
      </c>
      <c r="AA26" s="50">
        <f t="shared" si="18"/>
        <v>0.45799975893605593</v>
      </c>
    </row>
    <row r="27" spans="1:27">
      <c r="A27" s="45">
        <v>11</v>
      </c>
      <c r="B27" s="46">
        <f>Sheet3!N14</f>
        <v>69.3</v>
      </c>
      <c r="C27" s="47">
        <f t="shared" si="3"/>
        <v>0.94931506849315062</v>
      </c>
      <c r="D27" s="85">
        <v>95</v>
      </c>
      <c r="I27" s="45">
        <v>11</v>
      </c>
      <c r="J27" s="45">
        <f t="shared" si="0"/>
        <v>95</v>
      </c>
      <c r="K27" s="45">
        <f t="shared" si="1"/>
        <v>95</v>
      </c>
      <c r="L27" s="40">
        <f t="shared" si="4"/>
        <v>95</v>
      </c>
      <c r="M27" s="40">
        <f t="shared" si="5"/>
        <v>95</v>
      </c>
      <c r="N27" s="40">
        <f t="shared" ref="N27:O27" si="27">M27</f>
        <v>95</v>
      </c>
      <c r="O27" s="40">
        <f t="shared" si="27"/>
        <v>95</v>
      </c>
      <c r="P27" s="51">
        <f t="shared" si="7"/>
        <v>6</v>
      </c>
      <c r="Q27" s="51">
        <f t="shared" si="8"/>
        <v>6</v>
      </c>
      <c r="R27" s="51">
        <f t="shared" si="9"/>
        <v>6</v>
      </c>
      <c r="S27" s="51">
        <f t="shared" si="10"/>
        <v>6</v>
      </c>
      <c r="T27" s="51">
        <f t="shared" si="11"/>
        <v>6</v>
      </c>
      <c r="U27" s="51">
        <f t="shared" si="12"/>
        <v>6</v>
      </c>
      <c r="V27" s="50">
        <f t="shared" si="13"/>
        <v>2.0368585978939127</v>
      </c>
      <c r="W27" s="50">
        <f t="shared" si="14"/>
        <v>0.7533586594950088</v>
      </c>
      <c r="X27" s="50">
        <f t="shared" si="15"/>
        <v>0.70244821633203347</v>
      </c>
      <c r="Y27" s="50">
        <f t="shared" si="16"/>
        <v>0.25980961425979321</v>
      </c>
      <c r="Z27" s="50">
        <f t="shared" si="17"/>
        <v>1.2382956445308175</v>
      </c>
      <c r="AA27" s="50">
        <f t="shared" si="18"/>
        <v>0.45799975893605593</v>
      </c>
    </row>
    <row r="28" spans="1:27">
      <c r="A28" s="45">
        <v>12</v>
      </c>
      <c r="B28" s="46">
        <f>Sheet3!N15</f>
        <v>73</v>
      </c>
      <c r="C28" s="47">
        <f t="shared" si="3"/>
        <v>1</v>
      </c>
      <c r="D28" s="85">
        <v>100</v>
      </c>
      <c r="I28" s="45">
        <v>12</v>
      </c>
      <c r="J28" s="45">
        <f t="shared" si="0"/>
        <v>100</v>
      </c>
      <c r="K28" s="45">
        <f t="shared" si="1"/>
        <v>100</v>
      </c>
      <c r="L28" s="40">
        <f t="shared" si="4"/>
        <v>100</v>
      </c>
      <c r="M28" s="40">
        <f t="shared" si="5"/>
        <v>100</v>
      </c>
      <c r="N28" s="40">
        <f t="shared" ref="N28:O28" si="28">M28</f>
        <v>100</v>
      </c>
      <c r="O28" s="40">
        <f t="shared" si="28"/>
        <v>100</v>
      </c>
      <c r="P28" s="51">
        <f t="shared" si="7"/>
        <v>5</v>
      </c>
      <c r="Q28" s="51">
        <f t="shared" si="8"/>
        <v>5</v>
      </c>
      <c r="R28" s="51">
        <f t="shared" si="9"/>
        <v>5</v>
      </c>
      <c r="S28" s="51">
        <f t="shared" si="10"/>
        <v>5</v>
      </c>
      <c r="T28" s="51">
        <f t="shared" si="11"/>
        <v>5</v>
      </c>
      <c r="U28" s="51">
        <f t="shared" si="12"/>
        <v>5</v>
      </c>
      <c r="V28" s="50">
        <f t="shared" si="13"/>
        <v>1.6973821649115937</v>
      </c>
      <c r="W28" s="50">
        <f t="shared" si="14"/>
        <v>0.62779888291250729</v>
      </c>
      <c r="X28" s="50">
        <f t="shared" si="15"/>
        <v>0.58537351361002787</v>
      </c>
      <c r="Y28" s="50">
        <f t="shared" si="16"/>
        <v>0.21650801188316104</v>
      </c>
      <c r="Z28" s="50">
        <f t="shared" si="17"/>
        <v>1.0319130371090146</v>
      </c>
      <c r="AA28" s="50">
        <f t="shared" si="18"/>
        <v>0.38166646578004659</v>
      </c>
    </row>
    <row r="29" spans="1:27">
      <c r="A29" s="45">
        <v>13</v>
      </c>
      <c r="B29" s="46">
        <f>Sheet3!N16</f>
        <v>76.3</v>
      </c>
      <c r="C29" s="39"/>
      <c r="I29" s="17" t="s">
        <v>141</v>
      </c>
      <c r="K29" s="17"/>
      <c r="P29" s="52">
        <f>SUM(P17:P28)</f>
        <v>100</v>
      </c>
      <c r="Q29" s="52">
        <f>SUM(Q17:Q28)</f>
        <v>100</v>
      </c>
      <c r="R29" s="52">
        <f t="shared" ref="R29:U29" si="29">SUM(R17:R28)</f>
        <v>100</v>
      </c>
      <c r="S29" s="52">
        <f t="shared" si="29"/>
        <v>100</v>
      </c>
      <c r="T29" s="52">
        <f t="shared" si="29"/>
        <v>100</v>
      </c>
      <c r="U29" s="52">
        <f t="shared" si="29"/>
        <v>100</v>
      </c>
      <c r="V29" s="53">
        <f t="shared" ref="V29:AA29" si="30">SUM(V17:V28)</f>
        <v>33.947643298231867</v>
      </c>
      <c r="W29" s="53">
        <f t="shared" si="30"/>
        <v>12.555977658250146</v>
      </c>
      <c r="X29" s="53">
        <f t="shared" si="30"/>
        <v>11.707470272200558</v>
      </c>
      <c r="Y29" s="53">
        <f t="shared" si="30"/>
        <v>4.33016023766322</v>
      </c>
      <c r="Z29" s="53">
        <f t="shared" si="30"/>
        <v>20.638260742180293</v>
      </c>
      <c r="AA29" s="53">
        <f t="shared" si="30"/>
        <v>7.6333293156009336</v>
      </c>
    </row>
    <row r="30" spans="1:27">
      <c r="A30" s="45">
        <v>14</v>
      </c>
      <c r="B30" s="46">
        <f>Sheet3!N17</f>
        <v>79.3</v>
      </c>
      <c r="C30" s="39"/>
    </row>
    <row r="31" spans="1:27">
      <c r="A31" s="45">
        <v>15</v>
      </c>
      <c r="B31" s="46">
        <f>Sheet3!N18</f>
        <v>81.900000000000006</v>
      </c>
      <c r="C31" s="39"/>
      <c r="K31" s="17"/>
      <c r="L31" s="54"/>
      <c r="M31" s="17"/>
      <c r="N31" s="55"/>
    </row>
    <row r="32" spans="1:27">
      <c r="A32" s="45">
        <v>16</v>
      </c>
      <c r="B32" s="46">
        <f>Sheet3!N19</f>
        <v>84.4</v>
      </c>
      <c r="C32" s="39"/>
      <c r="G32" s="71" t="s">
        <v>142</v>
      </c>
      <c r="K32" s="17"/>
      <c r="L32" s="54"/>
      <c r="M32" s="17"/>
      <c r="N32" s="55"/>
    </row>
    <row r="33" spans="1:27">
      <c r="A33" s="45">
        <v>17</v>
      </c>
      <c r="B33" s="46">
        <f>Sheet3!N20</f>
        <v>86.9</v>
      </c>
      <c r="C33" s="39"/>
      <c r="G33" s="71" t="str">
        <f>"Excess rainfall arrangement with consideration of uniform loss at "&amp;SUH!Y14&amp; " cm/hr"</f>
        <v>Excess rainfall arrangement with consideration of uniform loss at 0.23 cm/hr</v>
      </c>
      <c r="I33" s="56"/>
      <c r="J33" s="54"/>
      <c r="K33" s="54"/>
      <c r="L33" s="54"/>
      <c r="M33" s="17"/>
      <c r="N33" s="55"/>
    </row>
    <row r="34" spans="1:27" ht="28.8" customHeight="1">
      <c r="A34" s="45">
        <v>18</v>
      </c>
      <c r="B34" s="46">
        <f>Sheet3!N21</f>
        <v>89.2</v>
      </c>
      <c r="C34" s="39"/>
      <c r="G34" s="114" t="s">
        <v>118</v>
      </c>
      <c r="H34" s="114" t="s">
        <v>143</v>
      </c>
      <c r="I34" s="144" t="s">
        <v>144</v>
      </c>
      <c r="J34" s="144"/>
      <c r="K34" s="144"/>
      <c r="L34" s="144"/>
      <c r="M34" s="144"/>
      <c r="N34" s="144"/>
      <c r="O34" s="115" t="s">
        <v>145</v>
      </c>
      <c r="P34" s="144" t="s">
        <v>146</v>
      </c>
      <c r="Q34" s="144"/>
      <c r="R34" s="144"/>
      <c r="S34" s="144"/>
      <c r="T34" s="144"/>
      <c r="U34" s="144"/>
      <c r="V34" s="144" t="s">
        <v>185</v>
      </c>
      <c r="W34" s="144"/>
      <c r="X34" s="144"/>
      <c r="Y34" s="144"/>
      <c r="Z34" s="144"/>
      <c r="AA34" s="144"/>
    </row>
    <row r="35" spans="1:27">
      <c r="A35" s="45">
        <v>19</v>
      </c>
      <c r="B35" s="46">
        <f>Sheet3!N22</f>
        <v>91.5</v>
      </c>
      <c r="C35" s="39"/>
      <c r="G35" s="133"/>
      <c r="H35" s="113"/>
      <c r="I35" s="114" t="s">
        <v>148</v>
      </c>
      <c r="J35" s="114" t="s">
        <v>149</v>
      </c>
      <c r="K35" s="114" t="s">
        <v>183</v>
      </c>
      <c r="L35" s="114" t="s">
        <v>184</v>
      </c>
      <c r="M35" s="114" t="s">
        <v>215</v>
      </c>
      <c r="N35" s="114" t="s">
        <v>216</v>
      </c>
      <c r="O35" s="114">
        <f>SUH!$Y$14</f>
        <v>0.23</v>
      </c>
      <c r="P35" s="134" t="s">
        <v>148</v>
      </c>
      <c r="Q35" s="134" t="s">
        <v>149</v>
      </c>
      <c r="R35" s="134" t="s">
        <v>183</v>
      </c>
      <c r="S35" s="134" t="s">
        <v>184</v>
      </c>
      <c r="T35" s="134" t="s">
        <v>215</v>
      </c>
      <c r="U35" s="134" t="s">
        <v>216</v>
      </c>
      <c r="V35" s="134" t="s">
        <v>186</v>
      </c>
      <c r="W35" s="134" t="s">
        <v>187</v>
      </c>
      <c r="X35" s="134" t="s">
        <v>188</v>
      </c>
      <c r="Y35" s="134" t="s">
        <v>189</v>
      </c>
      <c r="Z35" s="134" t="s">
        <v>207</v>
      </c>
      <c r="AA35" s="134" t="s">
        <v>208</v>
      </c>
    </row>
    <row r="36" spans="1:27">
      <c r="A36" s="45">
        <v>20</v>
      </c>
      <c r="B36" s="46">
        <f>Sheet3!N23</f>
        <v>93.7</v>
      </c>
      <c r="C36" s="39"/>
      <c r="G36" s="57">
        <v>1</v>
      </c>
      <c r="H36" s="58">
        <f ca="1">'24hr SPS'!H35</f>
        <v>102.5</v>
      </c>
      <c r="I36" s="50">
        <f ca="1">LARGE($V$17:$V$28,_xlfn.RANK.AVG(H36,$H$36:$H$47,0))</f>
        <v>2.0368585978939127</v>
      </c>
      <c r="J36" s="50">
        <f ca="1">LARGE($W$17:$W$28,_xlfn.RANK.AVG(H36,$H$36:$H$47,0))</f>
        <v>0.7533586594950088</v>
      </c>
      <c r="K36" s="50">
        <f ca="1">LARGE($X$17:$X$28,_xlfn.RANK.AVG(H36,$H$36:$H$47,0))</f>
        <v>0.70244821633203347</v>
      </c>
      <c r="L36" s="50">
        <f ca="1">LARGE($Y$17:$Y$28,_xlfn.RANK.AVG(H36,$H$36:$H$47,0))</f>
        <v>0.25980961425979321</v>
      </c>
      <c r="M36" s="50">
        <f ca="1">LARGE($Z$17:$Z$28,_xlfn.RANK.AVG(H36,$H$36:$H$47,0))</f>
        <v>1.2382956445308175</v>
      </c>
      <c r="N36" s="50">
        <f ca="1">LARGE($AA$17:$AA$28,_xlfn.RANK.AVG(H36,$H$36:$H$47,0))</f>
        <v>0.45799975893605593</v>
      </c>
      <c r="O36" s="44">
        <f>O35</f>
        <v>0.23</v>
      </c>
      <c r="P36" s="59">
        <f ca="1">IF((I36-M36)&lt;0,0,(I36-M36))</f>
        <v>0.79856295336309513</v>
      </c>
      <c r="Q36" s="59">
        <f ca="1">IF((J36-O36)&lt;0,0,(J36-O36))</f>
        <v>0.52335865949500882</v>
      </c>
      <c r="R36" s="59">
        <f ca="1">IF((K36-O36)&lt;0,0,(K36-O36))</f>
        <v>0.47244821633203349</v>
      </c>
      <c r="S36" s="59">
        <f ca="1">IF((L36-O36)&lt;0,0,(L36-O36))</f>
        <v>2.9809614259793199E-2</v>
      </c>
      <c r="T36" s="59">
        <f ca="1">IF((M36-O36)&lt;0,0,(M36-O36))</f>
        <v>1.0082956445308175</v>
      </c>
      <c r="U36" s="59">
        <f ca="1">IF((N36-O36)&lt;0,0,(N36-O36))</f>
        <v>0.22799975893605592</v>
      </c>
      <c r="V36" s="60" cm="1">
        <f t="array" aca="1" ref="V36" ca="1">INDEX($I$36:$I$47,ROWS($I$36:$I$47)-ROW()+ROW($I$36))</f>
        <v>1.6973821649115937</v>
      </c>
      <c r="W36" s="60" cm="1">
        <f t="array" aca="1" ref="W36" ca="1">INDEX($J$36:$J$47,ROWS($J$36:$J$47)-ROW()+ROW($J$36))</f>
        <v>0.62779888291250729</v>
      </c>
      <c r="X36" s="60" cm="1">
        <f t="array" aca="1" ref="X36" ca="1">INDEX($K$36:$K$47,ROWS($K$36:$K$47)-ROW()+ROW($K$36))</f>
        <v>0.58537351361002787</v>
      </c>
      <c r="Y36" s="60" cm="1">
        <f t="array" aca="1" ref="Y36" ca="1">INDEX($L$36:$L$47,ROWS($L$36:$L$47)-ROW()+ROW($L$36))</f>
        <v>0.21650801188316104</v>
      </c>
      <c r="Z36" s="60" cm="1">
        <f t="array" aca="1" ref="Z36" ca="1">INDEX($M$36:$M$47,ROWS($M$36:$M$47)-ROW()+ROW($M$36))</f>
        <v>1.0319130371090146</v>
      </c>
      <c r="AA36" s="60" cm="1">
        <f t="array" aca="1" ref="AA36" ca="1">INDEX($N$36:$N$47,ROWS($N$36:$N$47)-ROW()+ROW($N$36))</f>
        <v>0.38166646578004659</v>
      </c>
    </row>
    <row r="37" spans="1:27">
      <c r="A37" s="45">
        <v>21</v>
      </c>
      <c r="B37" s="46">
        <f>Sheet3!N24</f>
        <v>95.5</v>
      </c>
      <c r="C37" s="39"/>
      <c r="G37" s="57">
        <v>2</v>
      </c>
      <c r="H37" s="58">
        <f ca="1">'24hr SPS'!H36</f>
        <v>153.75</v>
      </c>
      <c r="I37" s="50">
        <f t="shared" ref="I37:I47" ca="1" si="31">LARGE($V$17:$V$28,_xlfn.RANK.AVG(H37,$H$36:$H$47,0))</f>
        <v>2.3763350308762314</v>
      </c>
      <c r="J37" s="50">
        <f t="shared" ref="J37:J47" ca="1" si="32">LARGE($W$17:$W$28,_xlfn.RANK.AVG(H37,$H$36:$H$47,0))</f>
        <v>0.8789184360775103</v>
      </c>
      <c r="K37" s="50">
        <f t="shared" ref="K37:K47" ca="1" si="33">LARGE($X$17:$X$28,_xlfn.RANK.AVG(H37,$H$36:$H$47,0))</f>
        <v>0.81952291905403907</v>
      </c>
      <c r="L37" s="50">
        <f t="shared" ref="L37:L47" ca="1" si="34">LARGE($Y$17:$Y$28,_xlfn.RANK.AVG(H37,$H$36:$H$47,0))</f>
        <v>0.30311121663642543</v>
      </c>
      <c r="M37" s="50">
        <f t="shared" ref="M37:M47" ca="1" si="35">LARGE($Z$17:$Z$28,_xlfn.RANK.AVG(H37,$H$36:$H$47,0))</f>
        <v>1.4446782519526205</v>
      </c>
      <c r="N37" s="50">
        <f t="shared" ref="N37:N47" ca="1" si="36">LARGE($AA$17:$AA$28,_xlfn.RANK.AVG(H37,$H$36:$H$47,0))</f>
        <v>0.53433305209206527</v>
      </c>
      <c r="O37" s="44">
        <f t="shared" ref="O37:O47" si="37">O36</f>
        <v>0.23</v>
      </c>
      <c r="P37" s="59">
        <f t="shared" ref="P37:P47" ca="1" si="38">IF((I37-M37)&lt;0,0,(I37-M37))</f>
        <v>0.93165677892361098</v>
      </c>
      <c r="Q37" s="59">
        <f t="shared" ref="Q37:Q47" ca="1" si="39">IF((J37-O37)&lt;0,0,(J37-O37))</f>
        <v>0.64891843607751032</v>
      </c>
      <c r="R37" s="59">
        <f t="shared" ref="R37:R47" ca="1" si="40">IF((K37-O37)&lt;0,0,(K37-O37))</f>
        <v>0.58952291905403909</v>
      </c>
      <c r="S37" s="59">
        <f t="shared" ref="S37:S47" ca="1" si="41">IF((L37-O37)&lt;0,0,(L37-O37))</f>
        <v>7.3111216636425419E-2</v>
      </c>
      <c r="T37" s="59">
        <f t="shared" ref="T37:T47" ca="1" si="42">IF((M37-O37)&lt;0,0,(M37-O37))</f>
        <v>1.2146782519526205</v>
      </c>
      <c r="U37" s="59">
        <f t="shared" ref="U37:U47" ca="1" si="43">IF((N37-O37)&lt;0,0,(N37-O37))</f>
        <v>0.30433305209206529</v>
      </c>
      <c r="V37" s="60" cm="1">
        <f t="array" aca="1" ref="V37" ca="1">INDEX($I$36:$I$47,ROWS($I$36:$I$47)-ROW()+ROW($I$36))</f>
        <v>2.0368585978939127</v>
      </c>
      <c r="W37" s="60" cm="1">
        <f t="array" aca="1" ref="W37" ca="1">INDEX($J$36:$J$47,ROWS($J$36:$J$47)-ROW()+ROW($J$36))</f>
        <v>0.7533586594950088</v>
      </c>
      <c r="X37" s="60" cm="1">
        <f t="array" aca="1" ref="X37" ca="1">INDEX($K$36:$K$47,ROWS($K$36:$K$47)-ROW()+ROW($K$36))</f>
        <v>0.70244821633203347</v>
      </c>
      <c r="Y37" s="60" cm="1">
        <f t="array" aca="1" ref="Y37" ca="1">INDEX($L$36:$L$47,ROWS($L$36:$L$47)-ROW()+ROW($L$36))</f>
        <v>0.25980961425979321</v>
      </c>
      <c r="Z37" s="60" cm="1">
        <f t="array" aca="1" ref="Z37" ca="1">INDEX($M$36:$M$47,ROWS($M$36:$M$47)-ROW()+ROW($M$36))</f>
        <v>1.2382956445308175</v>
      </c>
      <c r="AA37" s="60" cm="1">
        <f t="array" aca="1" ref="AA37" ca="1">INDEX($N$36:$N$47,ROWS($N$36:$N$47)-ROW()+ROW($N$36))</f>
        <v>0.45799975893605593</v>
      </c>
    </row>
    <row r="38" spans="1:27">
      <c r="A38" s="45">
        <v>22</v>
      </c>
      <c r="B38" s="46">
        <f>Sheet3!N25</f>
        <v>97.3</v>
      </c>
      <c r="C38" s="39"/>
      <c r="G38" s="57">
        <v>3</v>
      </c>
      <c r="H38" s="58">
        <f ca="1">'24hr SPS'!H37</f>
        <v>179.375</v>
      </c>
      <c r="I38" s="50">
        <f t="shared" ca="1" si="31"/>
        <v>2.7158114638585498</v>
      </c>
      <c r="J38" s="50">
        <f t="shared" ca="1" si="32"/>
        <v>1.0044782126600118</v>
      </c>
      <c r="K38" s="50">
        <f t="shared" ca="1" si="33"/>
        <v>0.93659762177604466</v>
      </c>
      <c r="L38" s="50">
        <f t="shared" ca="1" si="34"/>
        <v>0.34641281901305765</v>
      </c>
      <c r="M38" s="50">
        <f t="shared" ca="1" si="35"/>
        <v>1.6510608593744234</v>
      </c>
      <c r="N38" s="50">
        <f t="shared" ca="1" si="36"/>
        <v>0.6106663452480745</v>
      </c>
      <c r="O38" s="44">
        <f t="shared" si="37"/>
        <v>0.23</v>
      </c>
      <c r="P38" s="59">
        <f t="shared" ca="1" si="38"/>
        <v>1.0647506044841264</v>
      </c>
      <c r="Q38" s="59">
        <f t="shared" ca="1" si="39"/>
        <v>0.77447821266001182</v>
      </c>
      <c r="R38" s="59">
        <f t="shared" ca="1" si="40"/>
        <v>0.70659762177604468</v>
      </c>
      <c r="S38" s="59">
        <f t="shared" ca="1" si="41"/>
        <v>0.11641281901305764</v>
      </c>
      <c r="T38" s="59">
        <f t="shared" ca="1" si="42"/>
        <v>1.4210608593744234</v>
      </c>
      <c r="U38" s="59">
        <f t="shared" ca="1" si="43"/>
        <v>0.38066634524807452</v>
      </c>
      <c r="V38" s="60" cm="1">
        <f t="array" aca="1" ref="V38" ca="1">INDEX($I$36:$I$47,ROWS($I$36:$I$47)-ROW()+ROW($I$36))</f>
        <v>2.0368585978939127</v>
      </c>
      <c r="W38" s="60" cm="1">
        <f t="array" aca="1" ref="W38" ca="1">INDEX($J$36:$J$47,ROWS($J$36:$J$47)-ROW()+ROW($J$36))</f>
        <v>0.7533586594950088</v>
      </c>
      <c r="X38" s="60" cm="1">
        <f t="array" aca="1" ref="X38" ca="1">INDEX($K$36:$K$47,ROWS($K$36:$K$47)-ROW()+ROW($K$36))</f>
        <v>0.70244821633203347</v>
      </c>
      <c r="Y38" s="60" cm="1">
        <f t="array" aca="1" ref="Y38" ca="1">INDEX($L$36:$L$47,ROWS($L$36:$L$47)-ROW()+ROW($L$36))</f>
        <v>0.25980961425979321</v>
      </c>
      <c r="Z38" s="60" cm="1">
        <f t="array" aca="1" ref="Z38" ca="1">INDEX($M$36:$M$47,ROWS($M$36:$M$47)-ROW()+ROW($M$36))</f>
        <v>1.2382956445308175</v>
      </c>
      <c r="AA38" s="60" cm="1">
        <f t="array" aca="1" ref="AA38" ca="1">INDEX($N$36:$N$47,ROWS($N$36:$N$47)-ROW()+ROW($N$36))</f>
        <v>0.45799975893605593</v>
      </c>
    </row>
    <row r="39" spans="1:27">
      <c r="A39" s="45">
        <v>23</v>
      </c>
      <c r="B39" s="46">
        <f>Sheet3!N26</f>
        <v>98.9</v>
      </c>
      <c r="C39" s="39"/>
      <c r="G39" s="57">
        <v>4</v>
      </c>
      <c r="H39" s="58">
        <f ca="1">'24hr SPS'!H38</f>
        <v>205</v>
      </c>
      <c r="I39" s="50">
        <f t="shared" ca="1" si="31"/>
        <v>7.1290050926286934</v>
      </c>
      <c r="J39" s="50">
        <f t="shared" ca="1" si="32"/>
        <v>2.636755308232531</v>
      </c>
      <c r="K39" s="50">
        <f t="shared" ca="1" si="33"/>
        <v>2.4585687571621171</v>
      </c>
      <c r="L39" s="50">
        <f t="shared" ca="1" si="34"/>
        <v>0.90933364990927645</v>
      </c>
      <c r="M39" s="50">
        <f t="shared" ca="1" si="35"/>
        <v>4.3340347558578616</v>
      </c>
      <c r="N39" s="50">
        <f t="shared" ca="1" si="36"/>
        <v>1.6029991562761956</v>
      </c>
      <c r="O39" s="44">
        <f t="shared" si="37"/>
        <v>0.23</v>
      </c>
      <c r="P39" s="59">
        <f t="shared" ca="1" si="38"/>
        <v>2.7949703367708318</v>
      </c>
      <c r="Q39" s="59">
        <f t="shared" ca="1" si="39"/>
        <v>2.406755308232531</v>
      </c>
      <c r="R39" s="59">
        <f t="shared" ca="1" si="40"/>
        <v>2.2285687571621171</v>
      </c>
      <c r="S39" s="59">
        <f t="shared" ca="1" si="41"/>
        <v>0.67933364990927647</v>
      </c>
      <c r="T39" s="59">
        <f t="shared" ca="1" si="42"/>
        <v>4.1040347558578611</v>
      </c>
      <c r="U39" s="59">
        <f t="shared" ca="1" si="43"/>
        <v>1.3729991562761956</v>
      </c>
      <c r="V39" s="60" cm="1">
        <f t="array" aca="1" ref="V39" ca="1">INDEX($I$36:$I$47,ROWS($I$36:$I$47)-ROW()+ROW($I$36))</f>
        <v>2.0368585978939127</v>
      </c>
      <c r="W39" s="60" cm="1">
        <f t="array" aca="1" ref="W39" ca="1">INDEX($J$36:$J$47,ROWS($J$36:$J$47)-ROW()+ROW($J$36))</f>
        <v>0.7533586594950088</v>
      </c>
      <c r="X39" s="60" cm="1">
        <f t="array" aca="1" ref="X39" ca="1">INDEX($K$36:$K$47,ROWS($K$36:$K$47)-ROW()+ROW($K$36))</f>
        <v>0.70244821633203347</v>
      </c>
      <c r="Y39" s="60" cm="1">
        <f t="array" aca="1" ref="Y39" ca="1">INDEX($L$36:$L$47,ROWS($L$36:$L$47)-ROW()+ROW($L$36))</f>
        <v>0.25980961425979321</v>
      </c>
      <c r="Z39" s="60" cm="1">
        <f t="array" aca="1" ref="Z39" ca="1">INDEX($M$36:$M$47,ROWS($M$36:$M$47)-ROW()+ROW($M$36))</f>
        <v>1.2382956445308175</v>
      </c>
      <c r="AA39" s="60" cm="1">
        <f t="array" aca="1" ref="AA39" ca="1">INDEX($N$36:$N$47,ROWS($N$36:$N$47)-ROW()+ROW($N$36))</f>
        <v>0.45799975893605593</v>
      </c>
    </row>
    <row r="40" spans="1:27">
      <c r="A40" s="45">
        <v>24</v>
      </c>
      <c r="B40" s="46">
        <f>Sheet3!N27</f>
        <v>100</v>
      </c>
      <c r="C40" s="39"/>
      <c r="G40" s="57">
        <v>5</v>
      </c>
      <c r="H40" s="58">
        <f ca="1">'24hr SPS'!H39</f>
        <v>187.91666666666669</v>
      </c>
      <c r="I40" s="50">
        <f t="shared" ca="1" si="31"/>
        <v>4.7526700617524629</v>
      </c>
      <c r="J40" s="50">
        <f t="shared" ca="1" si="32"/>
        <v>1.7578368721550206</v>
      </c>
      <c r="K40" s="50">
        <f t="shared" ca="1" si="33"/>
        <v>1.6390458381080781</v>
      </c>
      <c r="L40" s="50">
        <f t="shared" ca="1" si="34"/>
        <v>0.60622243327285086</v>
      </c>
      <c r="M40" s="50">
        <f t="shared" ca="1" si="35"/>
        <v>2.8893565039052409</v>
      </c>
      <c r="N40" s="50">
        <f t="shared" ca="1" si="36"/>
        <v>1.0686661041841305</v>
      </c>
      <c r="O40" s="44">
        <f t="shared" si="37"/>
        <v>0.23</v>
      </c>
      <c r="P40" s="59">
        <f t="shared" ca="1" si="38"/>
        <v>1.863313557847222</v>
      </c>
      <c r="Q40" s="59">
        <f t="shared" ca="1" si="39"/>
        <v>1.5278368721550206</v>
      </c>
      <c r="R40" s="59">
        <f t="shared" ca="1" si="40"/>
        <v>1.4090458381080782</v>
      </c>
      <c r="S40" s="59">
        <f t="shared" ca="1" si="41"/>
        <v>0.37622243327285088</v>
      </c>
      <c r="T40" s="59">
        <f t="shared" ca="1" si="42"/>
        <v>2.6593565039052409</v>
      </c>
      <c r="U40" s="59">
        <f t="shared" ca="1" si="43"/>
        <v>0.83866610418413057</v>
      </c>
      <c r="V40" s="60" cm="1">
        <f t="array" aca="1" ref="V40" ca="1">INDEX($I$36:$I$47,ROWS($I$36:$I$47)-ROW()+ROW($I$36))</f>
        <v>2.0368585978939127</v>
      </c>
      <c r="W40" s="60" cm="1">
        <f t="array" aca="1" ref="W40" ca="1">INDEX($J$36:$J$47,ROWS($J$36:$J$47)-ROW()+ROW($J$36))</f>
        <v>0.7533586594950088</v>
      </c>
      <c r="X40" s="60" cm="1">
        <f t="array" aca="1" ref="X40" ca="1">INDEX($K$36:$K$47,ROWS($K$36:$K$47)-ROW()+ROW($K$36))</f>
        <v>0.70244821633203347</v>
      </c>
      <c r="Y40" s="60" cm="1">
        <f t="array" aca="1" ref="Y40" ca="1">INDEX($L$36:$L$47,ROWS($L$36:$L$47)-ROW()+ROW($L$36))</f>
        <v>0.25980961425979321</v>
      </c>
      <c r="Z40" s="60" cm="1">
        <f t="array" aca="1" ref="Z40" ca="1">INDEX($M$36:$M$47,ROWS($M$36:$M$47)-ROW()+ROW($M$36))</f>
        <v>1.2382956445308175</v>
      </c>
      <c r="AA40" s="60" cm="1">
        <f t="array" aca="1" ref="AA40" ca="1">INDEX($N$36:$N$47,ROWS($N$36:$N$47)-ROW()+ROW($N$36))</f>
        <v>0.45799975893605593</v>
      </c>
    </row>
    <row r="41" spans="1:27">
      <c r="G41" s="57">
        <v>6</v>
      </c>
      <c r="H41" s="58">
        <f ca="1">'24hr SPS'!H40</f>
        <v>170.83333333333334</v>
      </c>
      <c r="I41" s="50">
        <f t="shared" ca="1" si="31"/>
        <v>2.7158114638585498</v>
      </c>
      <c r="J41" s="50">
        <f t="shared" ca="1" si="32"/>
        <v>1.0044782126600118</v>
      </c>
      <c r="K41" s="50">
        <f t="shared" ca="1" si="33"/>
        <v>0.93659762177604466</v>
      </c>
      <c r="L41" s="50">
        <f t="shared" ca="1" si="34"/>
        <v>0.34641281901305765</v>
      </c>
      <c r="M41" s="50">
        <f t="shared" ca="1" si="35"/>
        <v>1.6510608593744234</v>
      </c>
      <c r="N41" s="50">
        <f t="shared" ca="1" si="36"/>
        <v>0.6106663452480745</v>
      </c>
      <c r="O41" s="44">
        <f t="shared" si="37"/>
        <v>0.23</v>
      </c>
      <c r="P41" s="59">
        <f t="shared" ca="1" si="38"/>
        <v>1.0647506044841264</v>
      </c>
      <c r="Q41" s="59">
        <f t="shared" ca="1" si="39"/>
        <v>0.77447821266001182</v>
      </c>
      <c r="R41" s="59">
        <f t="shared" ca="1" si="40"/>
        <v>0.70659762177604468</v>
      </c>
      <c r="S41" s="59">
        <f t="shared" ca="1" si="41"/>
        <v>0.11641281901305764</v>
      </c>
      <c r="T41" s="59">
        <f t="shared" ca="1" si="42"/>
        <v>1.4210608593744234</v>
      </c>
      <c r="U41" s="59">
        <f t="shared" ca="1" si="43"/>
        <v>0.38066634524807452</v>
      </c>
      <c r="V41" s="60" cm="1">
        <f t="array" aca="1" ref="V41" ca="1">INDEX($I$36:$I$47,ROWS($I$36:$I$47)-ROW()+ROW($I$36))</f>
        <v>2.3763350308762314</v>
      </c>
      <c r="W41" s="60" cm="1">
        <f t="array" aca="1" ref="W41" ca="1">INDEX($J$36:$J$47,ROWS($J$36:$J$47)-ROW()+ROW($J$36))</f>
        <v>0.8789184360775103</v>
      </c>
      <c r="X41" s="60" cm="1">
        <f t="array" aca="1" ref="X41" ca="1">INDEX($K$36:$K$47,ROWS($K$36:$K$47)-ROW()+ROW($K$36))</f>
        <v>0.81952291905403907</v>
      </c>
      <c r="Y41" s="60" cm="1">
        <f t="array" aca="1" ref="Y41" ca="1">INDEX($L$36:$L$47,ROWS($L$36:$L$47)-ROW()+ROW($L$36))</f>
        <v>0.30311121663642543</v>
      </c>
      <c r="Z41" s="60" cm="1">
        <f t="array" aca="1" ref="Z41" ca="1">INDEX($M$36:$M$47,ROWS($M$36:$M$47)-ROW()+ROW($M$36))</f>
        <v>1.4446782519526205</v>
      </c>
      <c r="AA41" s="60" cm="1">
        <f t="array" aca="1" ref="AA41" ca="1">INDEX($N$36:$N$47,ROWS($N$36:$N$47)-ROW()+ROW($N$36))</f>
        <v>0.53433305209206527</v>
      </c>
    </row>
    <row r="42" spans="1:27">
      <c r="G42" s="57">
        <v>7</v>
      </c>
      <c r="H42" s="58">
        <f ca="1">'24hr SPS'!H41</f>
        <v>153.75</v>
      </c>
      <c r="I42" s="50">
        <f t="shared" ca="1" si="31"/>
        <v>2.3763350308762314</v>
      </c>
      <c r="J42" s="50">
        <f t="shared" ca="1" si="32"/>
        <v>0.8789184360775103</v>
      </c>
      <c r="K42" s="50">
        <f t="shared" ca="1" si="33"/>
        <v>0.81952291905403907</v>
      </c>
      <c r="L42" s="50">
        <f t="shared" ca="1" si="34"/>
        <v>0.30311121663642543</v>
      </c>
      <c r="M42" s="50">
        <f t="shared" ca="1" si="35"/>
        <v>1.4446782519526205</v>
      </c>
      <c r="N42" s="50">
        <f t="shared" ca="1" si="36"/>
        <v>0.53433305209206527</v>
      </c>
      <c r="O42" s="44">
        <f t="shared" si="37"/>
        <v>0.23</v>
      </c>
      <c r="P42" s="59">
        <f t="shared" ca="1" si="38"/>
        <v>0.93165677892361098</v>
      </c>
      <c r="Q42" s="59">
        <f t="shared" ca="1" si="39"/>
        <v>0.64891843607751032</v>
      </c>
      <c r="R42" s="59">
        <f t="shared" ca="1" si="40"/>
        <v>0.58952291905403909</v>
      </c>
      <c r="S42" s="59">
        <f t="shared" ca="1" si="41"/>
        <v>7.3111216636425419E-2</v>
      </c>
      <c r="T42" s="59">
        <f t="shared" ca="1" si="42"/>
        <v>1.2146782519526205</v>
      </c>
      <c r="U42" s="59">
        <f t="shared" ca="1" si="43"/>
        <v>0.30433305209206529</v>
      </c>
      <c r="V42" s="60" cm="1">
        <f t="array" aca="1" ref="V42" ca="1">INDEX($I$36:$I$47,ROWS($I$36:$I$47)-ROW()+ROW($I$36))</f>
        <v>2.7158114638585498</v>
      </c>
      <c r="W42" s="60" cm="1">
        <f t="array" aca="1" ref="W42" ca="1">INDEX($J$36:$J$47,ROWS($J$36:$J$47)-ROW()+ROW($J$36))</f>
        <v>1.0044782126600118</v>
      </c>
      <c r="X42" s="60" cm="1">
        <f t="array" aca="1" ref="X42" ca="1">INDEX($K$36:$K$47,ROWS($K$36:$K$47)-ROW()+ROW($K$36))</f>
        <v>0.93659762177604466</v>
      </c>
      <c r="Y42" s="60" cm="1">
        <f t="array" aca="1" ref="Y42" ca="1">INDEX($L$36:$L$47,ROWS($L$36:$L$47)-ROW()+ROW($L$36))</f>
        <v>0.34641281901305765</v>
      </c>
      <c r="Z42" s="60" cm="1">
        <f t="array" aca="1" ref="Z42" ca="1">INDEX($M$36:$M$47,ROWS($M$36:$M$47)-ROW()+ROW($M$36))</f>
        <v>1.6510608593744234</v>
      </c>
      <c r="AA42" s="60" cm="1">
        <f t="array" aca="1" ref="AA42" ca="1">INDEX($N$36:$N$47,ROWS($N$36:$N$47)-ROW()+ROW($N$36))</f>
        <v>0.6106663452480745</v>
      </c>
    </row>
    <row r="43" spans="1:27">
      <c r="G43" s="57">
        <v>8</v>
      </c>
      <c r="H43" s="58">
        <f ca="1">'24hr SPS'!H42</f>
        <v>136.66666666666669</v>
      </c>
      <c r="I43" s="50">
        <f t="shared" ca="1" si="31"/>
        <v>2.0368585978939127</v>
      </c>
      <c r="J43" s="50">
        <f t="shared" ca="1" si="32"/>
        <v>0.7533586594950088</v>
      </c>
      <c r="K43" s="50">
        <f t="shared" ca="1" si="33"/>
        <v>0.70244821633203347</v>
      </c>
      <c r="L43" s="50">
        <f t="shared" ca="1" si="34"/>
        <v>0.25980961425979321</v>
      </c>
      <c r="M43" s="50">
        <f t="shared" ca="1" si="35"/>
        <v>1.2382956445308175</v>
      </c>
      <c r="N43" s="50">
        <f t="shared" ca="1" si="36"/>
        <v>0.45799975893605593</v>
      </c>
      <c r="O43" s="44">
        <f t="shared" si="37"/>
        <v>0.23</v>
      </c>
      <c r="P43" s="59">
        <f t="shared" ca="1" si="38"/>
        <v>0.79856295336309513</v>
      </c>
      <c r="Q43" s="59">
        <f t="shared" ca="1" si="39"/>
        <v>0.52335865949500882</v>
      </c>
      <c r="R43" s="59">
        <f t="shared" ca="1" si="40"/>
        <v>0.47244821633203349</v>
      </c>
      <c r="S43" s="59">
        <f t="shared" ca="1" si="41"/>
        <v>2.9809614259793199E-2</v>
      </c>
      <c r="T43" s="59">
        <f t="shared" ca="1" si="42"/>
        <v>1.0082956445308175</v>
      </c>
      <c r="U43" s="59">
        <f t="shared" ca="1" si="43"/>
        <v>0.22799975893605592</v>
      </c>
      <c r="V43" s="60" cm="1">
        <f t="array" aca="1" ref="V43" ca="1">INDEX($I$36:$I$47,ROWS($I$36:$I$47)-ROW()+ROW($I$36))</f>
        <v>4.7526700617524629</v>
      </c>
      <c r="W43" s="60" cm="1">
        <f t="array" aca="1" ref="W43" ca="1">INDEX($J$36:$J$47,ROWS($J$36:$J$47)-ROW()+ROW($J$36))</f>
        <v>1.7578368721550206</v>
      </c>
      <c r="X43" s="60" cm="1">
        <f t="array" aca="1" ref="X43" ca="1">INDEX($K$36:$K$47,ROWS($K$36:$K$47)-ROW()+ROW($K$36))</f>
        <v>1.6390458381080781</v>
      </c>
      <c r="Y43" s="60" cm="1">
        <f t="array" aca="1" ref="Y43" ca="1">INDEX($L$36:$L$47,ROWS($L$36:$L$47)-ROW()+ROW($L$36))</f>
        <v>0.60622243327285086</v>
      </c>
      <c r="Z43" s="60" cm="1">
        <f t="array" aca="1" ref="Z43" ca="1">INDEX($M$36:$M$47,ROWS($M$36:$M$47)-ROW()+ROW($M$36))</f>
        <v>2.8893565039052409</v>
      </c>
      <c r="AA43" s="60" cm="1">
        <f t="array" aca="1" ref="AA43" ca="1">INDEX($N$36:$N$47,ROWS($N$36:$N$47)-ROW()+ROW($N$36))</f>
        <v>1.0686661041841305</v>
      </c>
    </row>
    <row r="44" spans="1:27">
      <c r="G44" s="57">
        <v>9</v>
      </c>
      <c r="H44" s="58">
        <f ca="1">'24hr SPS'!H43</f>
        <v>119.58333333333334</v>
      </c>
      <c r="I44" s="50">
        <f t="shared" ca="1" si="31"/>
        <v>2.0368585978939127</v>
      </c>
      <c r="J44" s="50">
        <f t="shared" ca="1" si="32"/>
        <v>0.7533586594950088</v>
      </c>
      <c r="K44" s="50">
        <f t="shared" ca="1" si="33"/>
        <v>0.70244821633203347</v>
      </c>
      <c r="L44" s="50">
        <f t="shared" ca="1" si="34"/>
        <v>0.25980961425979321</v>
      </c>
      <c r="M44" s="50">
        <f t="shared" ca="1" si="35"/>
        <v>1.2382956445308175</v>
      </c>
      <c r="N44" s="50">
        <f t="shared" ca="1" si="36"/>
        <v>0.45799975893605593</v>
      </c>
      <c r="O44" s="44">
        <f t="shared" si="37"/>
        <v>0.23</v>
      </c>
      <c r="P44" s="59">
        <f t="shared" ca="1" si="38"/>
        <v>0.79856295336309513</v>
      </c>
      <c r="Q44" s="59">
        <f t="shared" ca="1" si="39"/>
        <v>0.52335865949500882</v>
      </c>
      <c r="R44" s="59">
        <f t="shared" ca="1" si="40"/>
        <v>0.47244821633203349</v>
      </c>
      <c r="S44" s="59">
        <f t="shared" ca="1" si="41"/>
        <v>2.9809614259793199E-2</v>
      </c>
      <c r="T44" s="59">
        <f t="shared" ca="1" si="42"/>
        <v>1.0082956445308175</v>
      </c>
      <c r="U44" s="59">
        <f t="shared" ca="1" si="43"/>
        <v>0.22799975893605592</v>
      </c>
      <c r="V44" s="60" cm="1">
        <f t="array" aca="1" ref="V44" ca="1">INDEX($I$36:$I$47,ROWS($I$36:$I$47)-ROW()+ROW($I$36))</f>
        <v>7.1290050926286934</v>
      </c>
      <c r="W44" s="60" cm="1">
        <f t="array" aca="1" ref="W44" ca="1">INDEX($J$36:$J$47,ROWS($J$36:$J$47)-ROW()+ROW($J$36))</f>
        <v>2.636755308232531</v>
      </c>
      <c r="X44" s="60" cm="1">
        <f t="array" aca="1" ref="X44" ca="1">INDEX($K$36:$K$47,ROWS($K$36:$K$47)-ROW()+ROW($K$36))</f>
        <v>2.4585687571621171</v>
      </c>
      <c r="Y44" s="60" cm="1">
        <f t="array" aca="1" ref="Y44" ca="1">INDEX($L$36:$L$47,ROWS($L$36:$L$47)-ROW()+ROW($L$36))</f>
        <v>0.90933364990927645</v>
      </c>
      <c r="Z44" s="60" cm="1">
        <f t="array" aca="1" ref="Z44" ca="1">INDEX($M$36:$M$47,ROWS($M$36:$M$47)-ROW()+ROW($M$36))</f>
        <v>4.3340347558578616</v>
      </c>
      <c r="AA44" s="60" cm="1">
        <f t="array" aca="1" ref="AA44" ca="1">INDEX($N$36:$N$47,ROWS($N$36:$N$47)-ROW()+ROW($N$36))</f>
        <v>1.6029991562761956</v>
      </c>
    </row>
    <row r="45" spans="1:27">
      <c r="D45" s="135" t="s">
        <v>987</v>
      </c>
      <c r="E45" s="135"/>
      <c r="F45" s="135"/>
      <c r="G45" s="57">
        <v>10</v>
      </c>
      <c r="H45" s="58">
        <f ca="1">'24hr SPS'!H44</f>
        <v>102.50000000000001</v>
      </c>
      <c r="I45" s="50">
        <f t="shared" ca="1" si="31"/>
        <v>2.0368585978939127</v>
      </c>
      <c r="J45" s="50">
        <f t="shared" ca="1" si="32"/>
        <v>0.7533586594950088</v>
      </c>
      <c r="K45" s="50">
        <f t="shared" ca="1" si="33"/>
        <v>0.70244821633203347</v>
      </c>
      <c r="L45" s="50">
        <f t="shared" ca="1" si="34"/>
        <v>0.25980961425979321</v>
      </c>
      <c r="M45" s="50">
        <f t="shared" ca="1" si="35"/>
        <v>1.2382956445308175</v>
      </c>
      <c r="N45" s="50">
        <f t="shared" ca="1" si="36"/>
        <v>0.45799975893605593</v>
      </c>
      <c r="O45" s="44">
        <f t="shared" si="37"/>
        <v>0.23</v>
      </c>
      <c r="P45" s="59">
        <f t="shared" ca="1" si="38"/>
        <v>0.79856295336309513</v>
      </c>
      <c r="Q45" s="59">
        <f t="shared" ca="1" si="39"/>
        <v>0.52335865949500882</v>
      </c>
      <c r="R45" s="59">
        <f t="shared" ca="1" si="40"/>
        <v>0.47244821633203349</v>
      </c>
      <c r="S45" s="59">
        <f t="shared" ca="1" si="41"/>
        <v>2.9809614259793199E-2</v>
      </c>
      <c r="T45" s="59">
        <f t="shared" ca="1" si="42"/>
        <v>1.0082956445308175</v>
      </c>
      <c r="U45" s="59">
        <f t="shared" ca="1" si="43"/>
        <v>0.22799975893605592</v>
      </c>
      <c r="V45" s="60" cm="1">
        <f t="array" aca="1" ref="V45" ca="1">INDEX($I$36:$I$47,ROWS($I$36:$I$47)-ROW()+ROW($I$36))</f>
        <v>2.7158114638585498</v>
      </c>
      <c r="W45" s="60" cm="1">
        <f t="array" aca="1" ref="W45" ca="1">INDEX($J$36:$J$47,ROWS($J$36:$J$47)-ROW()+ROW($J$36))</f>
        <v>1.0044782126600118</v>
      </c>
      <c r="X45" s="60" cm="1">
        <f t="array" aca="1" ref="X45" ca="1">INDEX($K$36:$K$47,ROWS($K$36:$K$47)-ROW()+ROW($K$36))</f>
        <v>0.93659762177604466</v>
      </c>
      <c r="Y45" s="60" cm="1">
        <f t="array" aca="1" ref="Y45" ca="1">INDEX($L$36:$L$47,ROWS($L$36:$L$47)-ROW()+ROW($L$36))</f>
        <v>0.34641281901305765</v>
      </c>
      <c r="Z45" s="60" cm="1">
        <f t="array" aca="1" ref="Z45" ca="1">INDEX($M$36:$M$47,ROWS($M$36:$M$47)-ROW()+ROW($M$36))</f>
        <v>1.6510608593744234</v>
      </c>
      <c r="AA45" s="60" cm="1">
        <f t="array" aca="1" ref="AA45" ca="1">INDEX($N$36:$N$47,ROWS($N$36:$N$47)-ROW()+ROW($N$36))</f>
        <v>0.6106663452480745</v>
      </c>
    </row>
    <row r="46" spans="1:27">
      <c r="D46" s="135" t="s">
        <v>988</v>
      </c>
      <c r="E46" s="135"/>
      <c r="F46" s="135"/>
      <c r="G46" s="57">
        <v>11</v>
      </c>
      <c r="H46" s="58">
        <f ca="1">'24hr SPS'!H45</f>
        <v>96.805555555555571</v>
      </c>
      <c r="I46" s="50">
        <f t="shared" ca="1" si="31"/>
        <v>2.0368585978939127</v>
      </c>
      <c r="J46" s="50">
        <f t="shared" ca="1" si="32"/>
        <v>0.7533586594950088</v>
      </c>
      <c r="K46" s="50">
        <f t="shared" ca="1" si="33"/>
        <v>0.70244821633203347</v>
      </c>
      <c r="L46" s="50">
        <f t="shared" ca="1" si="34"/>
        <v>0.25980961425979321</v>
      </c>
      <c r="M46" s="50">
        <f t="shared" ca="1" si="35"/>
        <v>1.2382956445308175</v>
      </c>
      <c r="N46" s="50">
        <f t="shared" ca="1" si="36"/>
        <v>0.45799975893605593</v>
      </c>
      <c r="O46" s="44">
        <f t="shared" si="37"/>
        <v>0.23</v>
      </c>
      <c r="P46" s="59">
        <f t="shared" ca="1" si="38"/>
        <v>0.79856295336309513</v>
      </c>
      <c r="Q46" s="59">
        <f t="shared" ca="1" si="39"/>
        <v>0.52335865949500882</v>
      </c>
      <c r="R46" s="59">
        <f t="shared" ca="1" si="40"/>
        <v>0.47244821633203349</v>
      </c>
      <c r="S46" s="59">
        <f t="shared" ca="1" si="41"/>
        <v>2.9809614259793199E-2</v>
      </c>
      <c r="T46" s="59">
        <f t="shared" ca="1" si="42"/>
        <v>1.0082956445308175</v>
      </c>
      <c r="U46" s="59">
        <f t="shared" ca="1" si="43"/>
        <v>0.22799975893605592</v>
      </c>
      <c r="V46" s="60" cm="1">
        <f t="array" aca="1" ref="V46" ca="1">INDEX($I$36:$I$47,ROWS($I$36:$I$47)-ROW()+ROW($I$36))</f>
        <v>2.3763350308762314</v>
      </c>
      <c r="W46" s="60" cm="1">
        <f t="array" aca="1" ref="W46" ca="1">INDEX($J$36:$J$47,ROWS($J$36:$J$47)-ROW()+ROW($J$36))</f>
        <v>0.8789184360775103</v>
      </c>
      <c r="X46" s="60" cm="1">
        <f t="array" aca="1" ref="X46" ca="1">INDEX($K$36:$K$47,ROWS($K$36:$K$47)-ROW()+ROW($K$36))</f>
        <v>0.81952291905403907</v>
      </c>
      <c r="Y46" s="60" cm="1">
        <f t="array" aca="1" ref="Y46" ca="1">INDEX($L$36:$L$47,ROWS($L$36:$L$47)-ROW()+ROW($L$36))</f>
        <v>0.30311121663642543</v>
      </c>
      <c r="Z46" s="60" cm="1">
        <f t="array" aca="1" ref="Z46" ca="1">INDEX($M$36:$M$47,ROWS($M$36:$M$47)-ROW()+ROW($M$36))</f>
        <v>1.4446782519526205</v>
      </c>
      <c r="AA46" s="60" cm="1">
        <f t="array" aca="1" ref="AA46" ca="1">INDEX($N$36:$N$47,ROWS($N$36:$N$47)-ROW()+ROW($N$36))</f>
        <v>0.53433305209206527</v>
      </c>
    </row>
    <row r="47" spans="1:27">
      <c r="G47" s="57">
        <v>12</v>
      </c>
      <c r="H47" s="58">
        <f ca="1">'24hr SPS'!H46</f>
        <v>91.111111111111128</v>
      </c>
      <c r="I47" s="50">
        <f t="shared" ca="1" si="31"/>
        <v>1.6973821649115937</v>
      </c>
      <c r="J47" s="50">
        <f t="shared" ca="1" si="32"/>
        <v>0.62779888291250729</v>
      </c>
      <c r="K47" s="50">
        <f t="shared" ca="1" si="33"/>
        <v>0.58537351361002787</v>
      </c>
      <c r="L47" s="50">
        <f t="shared" ca="1" si="34"/>
        <v>0.21650801188316104</v>
      </c>
      <c r="M47" s="50">
        <f t="shared" ca="1" si="35"/>
        <v>1.0319130371090146</v>
      </c>
      <c r="N47" s="50">
        <f t="shared" ca="1" si="36"/>
        <v>0.38166646578004659</v>
      </c>
      <c r="O47" s="44">
        <f t="shared" si="37"/>
        <v>0.23</v>
      </c>
      <c r="P47" s="59">
        <f t="shared" ca="1" si="38"/>
        <v>0.66546912780257905</v>
      </c>
      <c r="Q47" s="59">
        <f t="shared" ca="1" si="39"/>
        <v>0.39779888291250731</v>
      </c>
      <c r="R47" s="59">
        <f t="shared" ca="1" si="40"/>
        <v>0.35537351361002789</v>
      </c>
      <c r="S47" s="59">
        <f t="shared" ca="1" si="41"/>
        <v>0</v>
      </c>
      <c r="T47" s="59">
        <f t="shared" ca="1" si="42"/>
        <v>0.80191303710901463</v>
      </c>
      <c r="U47" s="59">
        <f t="shared" ca="1" si="43"/>
        <v>0.15166646578004658</v>
      </c>
      <c r="V47" s="60" cm="1">
        <f t="array" aca="1" ref="V47" ca="1">INDEX($I$36:$I$47,ROWS($I$36:$I$47)-ROW()+ROW($I$36))</f>
        <v>2.0368585978939127</v>
      </c>
      <c r="W47" s="60" cm="1">
        <f t="array" aca="1" ref="W47" ca="1">INDEX($J$36:$J$47,ROWS($J$36:$J$47)-ROW()+ROW($J$36))</f>
        <v>0.7533586594950088</v>
      </c>
      <c r="X47" s="60" cm="1">
        <f t="array" aca="1" ref="X47" ca="1">INDEX($K$36:$K$47,ROWS($K$36:$K$47)-ROW()+ROW($K$36))</f>
        <v>0.70244821633203347</v>
      </c>
      <c r="Y47" s="60" cm="1">
        <f t="array" aca="1" ref="Y47" ca="1">INDEX($L$36:$L$47,ROWS($L$36:$L$47)-ROW()+ROW($L$36))</f>
        <v>0.25980961425979321</v>
      </c>
      <c r="Z47" s="60" cm="1">
        <f t="array" aca="1" ref="Z47" ca="1">INDEX($M$36:$M$47,ROWS($M$36:$M$47)-ROW()+ROW($M$36))</f>
        <v>1.2382956445308175</v>
      </c>
      <c r="AA47" s="60" cm="1">
        <f t="array" aca="1" ref="AA47" ca="1">INDEX($N$36:$N$47,ROWS($N$36:$N$47)-ROW()+ROW($N$36))</f>
        <v>0.45799975893605593</v>
      </c>
    </row>
    <row r="48" spans="1:27">
      <c r="G48" s="61" t="s">
        <v>141</v>
      </c>
      <c r="H48" s="61"/>
      <c r="I48" s="61">
        <f ca="1">SUM(I36:I47)</f>
        <v>33.947643298231874</v>
      </c>
      <c r="J48" s="61">
        <f ca="1">SUM(J36:J47)</f>
        <v>12.555977658250146</v>
      </c>
      <c r="K48" s="61">
        <f t="shared" ref="K48:N48" ca="1" si="44">SUM(K36:K47)</f>
        <v>11.707470272200558</v>
      </c>
      <c r="L48" s="61">
        <f t="shared" ca="1" si="44"/>
        <v>4.33016023766322</v>
      </c>
      <c r="M48" s="61">
        <f t="shared" ca="1" si="44"/>
        <v>20.638260742180293</v>
      </c>
      <c r="N48" s="61">
        <f t="shared" ca="1" si="44"/>
        <v>7.6333293156009336</v>
      </c>
      <c r="O48" s="61"/>
      <c r="P48" s="61">
        <f ca="1">SUM(P36:P47)</f>
        <v>13.309382556051585</v>
      </c>
      <c r="Q48" s="61">
        <f ca="1">SUM(Q36:Q47)</f>
        <v>9.7959776582501483</v>
      </c>
      <c r="R48" s="61">
        <f t="shared" ref="R48:U48" ca="1" si="45">SUM(R36:R47)</f>
        <v>8.9474702722005564</v>
      </c>
      <c r="S48" s="61">
        <f t="shared" ca="1" si="45"/>
        <v>1.5836522257800594</v>
      </c>
      <c r="T48" s="61">
        <f t="shared" ca="1" si="45"/>
        <v>17.878260742180291</v>
      </c>
      <c r="U48" s="61">
        <f t="shared" ca="1" si="45"/>
        <v>4.8733293156009312</v>
      </c>
      <c r="V48" s="61">
        <f ca="1">SUM(V36:V47)</f>
        <v>33.947643298231881</v>
      </c>
      <c r="W48" s="61">
        <f ca="1">SUM(W36:W47)</f>
        <v>12.555977658250146</v>
      </c>
      <c r="X48" s="61">
        <f t="shared" ref="X48:AA48" ca="1" si="46">SUM(X36:X47)</f>
        <v>11.707470272200558</v>
      </c>
      <c r="Y48" s="61">
        <f t="shared" ca="1" si="46"/>
        <v>4.33016023766322</v>
      </c>
      <c r="Z48" s="61">
        <f t="shared" ca="1" si="46"/>
        <v>20.638260742180293</v>
      </c>
      <c r="AA48" s="61">
        <f t="shared" ca="1" si="46"/>
        <v>7.6333293156009336</v>
      </c>
    </row>
    <row r="52" spans="1:81" s="48" customFormat="1" ht="57" customHeight="1">
      <c r="A52" s="86" t="s">
        <v>134</v>
      </c>
      <c r="B52" s="86" t="s">
        <v>171</v>
      </c>
      <c r="C52" s="83">
        <v>0.58537351361002787</v>
      </c>
      <c r="D52" s="83">
        <v>0.70244821633203347</v>
      </c>
      <c r="E52" s="83">
        <v>0.70244821633203347</v>
      </c>
      <c r="F52" s="83">
        <v>0.70244821633203347</v>
      </c>
      <c r="G52" s="83">
        <v>0.70244821633203347</v>
      </c>
      <c r="H52" s="83">
        <v>0.81952291905403907</v>
      </c>
      <c r="I52" s="83">
        <v>0.93659762177604466</v>
      </c>
      <c r="J52" s="83">
        <v>1.6390458381080781</v>
      </c>
      <c r="K52" s="83">
        <v>2.4585687571621171</v>
      </c>
      <c r="L52" s="83">
        <v>0.93659762177604466</v>
      </c>
      <c r="M52" s="83">
        <v>0.81952291905403907</v>
      </c>
      <c r="N52" s="83">
        <v>0.70244821633203347</v>
      </c>
      <c r="O52" s="78">
        <v>1.0319130371090146</v>
      </c>
      <c r="P52" s="78">
        <v>1.2382956445308175</v>
      </c>
      <c r="Q52" s="78">
        <v>1.2382956445308175</v>
      </c>
      <c r="R52" s="78">
        <v>1.2382956445308175</v>
      </c>
      <c r="S52" s="78">
        <v>1.2382956445308175</v>
      </c>
      <c r="T52" s="78">
        <v>1.4446782519526205</v>
      </c>
      <c r="U52" s="78">
        <v>1.6510608593744234</v>
      </c>
      <c r="V52" s="78">
        <v>2.8893565039052409</v>
      </c>
      <c r="W52" s="78">
        <v>4.3340347558578616</v>
      </c>
      <c r="X52" s="78">
        <v>1.6510608593744234</v>
      </c>
      <c r="Y52" s="78">
        <v>1.4446782519526205</v>
      </c>
      <c r="Z52" s="78">
        <v>1.2382956445308175</v>
      </c>
      <c r="AA52" s="83">
        <v>1.6973821649115937</v>
      </c>
      <c r="AB52" s="83">
        <v>2.0368585978939127</v>
      </c>
      <c r="AC52" s="83">
        <v>2.0368585978939127</v>
      </c>
      <c r="AD52" s="83">
        <v>2.0368585978939127</v>
      </c>
      <c r="AE52" s="83">
        <v>2.0368585978939127</v>
      </c>
      <c r="AF52" s="83">
        <v>2.3763350308762314</v>
      </c>
      <c r="AG52" s="83">
        <v>2.7158114638585498</v>
      </c>
      <c r="AH52" s="83">
        <v>4.7526700617524629</v>
      </c>
      <c r="AI52" s="83">
        <v>7.1290050926286934</v>
      </c>
      <c r="AJ52" s="83">
        <v>2.7158114638585498</v>
      </c>
      <c r="AK52" s="83">
        <v>2.3763350308762314</v>
      </c>
      <c r="AL52" s="83">
        <v>2.0368585978939127</v>
      </c>
      <c r="AM52" s="78">
        <v>0.62779888291250729</v>
      </c>
      <c r="AN52" s="78">
        <v>0.7533586594950088</v>
      </c>
      <c r="AO52" s="78">
        <v>0.7533586594950088</v>
      </c>
      <c r="AP52" s="78">
        <v>0.7533586594950088</v>
      </c>
      <c r="AQ52" s="78">
        <v>0.7533586594950088</v>
      </c>
      <c r="AR52" s="78">
        <v>0.8789184360775103</v>
      </c>
      <c r="AS52" s="78">
        <v>1.0044782126600118</v>
      </c>
      <c r="AT52" s="78">
        <v>1.7578368721550206</v>
      </c>
      <c r="AU52" s="78">
        <v>2.636755308232531</v>
      </c>
      <c r="AV52" s="78">
        <v>1.0044782126600118</v>
      </c>
      <c r="AW52" s="78">
        <v>0.8789184360775103</v>
      </c>
      <c r="AX52" s="78">
        <v>0.7533586594950088</v>
      </c>
      <c r="AY52" s="83">
        <v>0.21650801188316104</v>
      </c>
      <c r="AZ52" s="83">
        <v>0.25980961425979321</v>
      </c>
      <c r="BA52" s="83">
        <v>0.25980961425979321</v>
      </c>
      <c r="BB52" s="83">
        <v>0.25980961425979321</v>
      </c>
      <c r="BC52" s="83">
        <v>0.25980961425979321</v>
      </c>
      <c r="BD52" s="83">
        <v>0.30311121663642543</v>
      </c>
      <c r="BE52" s="83">
        <v>0.34641281901305765</v>
      </c>
      <c r="BF52" s="83">
        <v>0.60622243327285086</v>
      </c>
      <c r="BG52" s="83">
        <v>0.90933364990927645</v>
      </c>
      <c r="BH52" s="83">
        <v>0.34641281901305765</v>
      </c>
      <c r="BI52" s="83">
        <v>0.30311121663642543</v>
      </c>
      <c r="BJ52" s="83">
        <v>0.25980961425979321</v>
      </c>
      <c r="BK52" s="78">
        <v>0.38166646578004659</v>
      </c>
      <c r="BL52" s="78">
        <v>0.45799975893605593</v>
      </c>
      <c r="BM52" s="78">
        <v>0.45799975893605593</v>
      </c>
      <c r="BN52" s="78">
        <v>0.45799975893605593</v>
      </c>
      <c r="BO52" s="78">
        <v>0.45799975893605593</v>
      </c>
      <c r="BP52" s="78">
        <v>0.53433305209206527</v>
      </c>
      <c r="BQ52" s="78">
        <v>0.6106663452480745</v>
      </c>
      <c r="BR52" s="78">
        <v>1.0686661041841305</v>
      </c>
      <c r="BS52" s="78">
        <v>1.6029991562761956</v>
      </c>
      <c r="BT52" s="78">
        <v>0.6106663452480745</v>
      </c>
      <c r="BU52" s="78">
        <v>0.53433305209206527</v>
      </c>
      <c r="BV52" s="78">
        <v>0.45799975893605593</v>
      </c>
      <c r="BW52" s="84"/>
      <c r="BX52" s="84" t="s">
        <v>168</v>
      </c>
      <c r="BY52" s="84" t="s">
        <v>172</v>
      </c>
      <c r="BZ52" s="48" t="s">
        <v>219</v>
      </c>
      <c r="CA52" s="48" t="s">
        <v>220</v>
      </c>
      <c r="CB52" s="48" t="s">
        <v>248</v>
      </c>
      <c r="CC52" s="48" t="s">
        <v>222</v>
      </c>
    </row>
    <row r="53" spans="1:81">
      <c r="A53" s="57">
        <f>'24hr SPS'!A53</f>
        <v>0</v>
      </c>
      <c r="B53" s="57">
        <f ca="1">'24hr SPS'!B53</f>
        <v>0</v>
      </c>
      <c r="C53" s="69">
        <v>0</v>
      </c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50">
        <v>0</v>
      </c>
      <c r="BX53" s="60">
        <f>'48hr SPS '!$AZ$53</f>
        <v>15.757379999999998</v>
      </c>
      <c r="BY53" s="57">
        <f>BW53+BX53</f>
        <v>15.757379999999998</v>
      </c>
      <c r="BZ53">
        <v>1</v>
      </c>
      <c r="CA53" t="s">
        <v>249</v>
      </c>
      <c r="CB53">
        <v>5510.0286785333528</v>
      </c>
      <c r="CC53" t="s">
        <v>980</v>
      </c>
    </row>
    <row r="54" spans="1:81">
      <c r="A54" s="57">
        <f>'24hr SPS'!A54</f>
        <v>1</v>
      </c>
      <c r="B54" s="57">
        <f ca="1">'24hr SPS'!B54</f>
        <v>17.083333333333332</v>
      </c>
      <c r="C54" s="69">
        <v>10.000130857504642</v>
      </c>
      <c r="D54" s="40">
        <v>0</v>
      </c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50">
        <v>10.000130857504642</v>
      </c>
      <c r="BX54" s="60">
        <f>'48hr SPS '!$AZ$53</f>
        <v>15.757379999999998</v>
      </c>
      <c r="BY54" s="57">
        <f t="shared" ref="BY54:BY55" si="47">BW54+BX54</f>
        <v>25.757510857504641</v>
      </c>
      <c r="BZ54">
        <v>2</v>
      </c>
      <c r="CA54" t="s">
        <v>250</v>
      </c>
      <c r="CB54">
        <v>5510.0286785333528</v>
      </c>
      <c r="CC54" t="s">
        <v>980</v>
      </c>
    </row>
    <row r="55" spans="1:81">
      <c r="A55" s="57">
        <f>'24hr SPS'!A55</f>
        <v>2</v>
      </c>
      <c r="B55" s="57">
        <f ca="1">'24hr SPS'!B55</f>
        <v>34.166666666666664</v>
      </c>
      <c r="C55" s="69">
        <v>20.000261715009284</v>
      </c>
      <c r="D55" s="69">
        <v>12.000157029005571</v>
      </c>
      <c r="E55" s="40">
        <v>0</v>
      </c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50">
        <v>32.000418744014851</v>
      </c>
      <c r="BX55" s="60">
        <f>'48hr SPS '!$AZ$53</f>
        <v>15.757379999999998</v>
      </c>
      <c r="BY55" s="57">
        <f t="shared" si="47"/>
        <v>47.757798744014849</v>
      </c>
      <c r="BZ55">
        <v>3</v>
      </c>
      <c r="CA55" t="s">
        <v>251</v>
      </c>
      <c r="CB55">
        <v>5510.0286785333528</v>
      </c>
      <c r="CC55" t="s">
        <v>980</v>
      </c>
    </row>
    <row r="56" spans="1:81">
      <c r="A56" s="57">
        <f>'24hr SPS'!A56</f>
        <v>3</v>
      </c>
      <c r="B56" s="57">
        <f ca="1">'24hr SPS'!B56</f>
        <v>51.25</v>
      </c>
      <c r="C56" s="69">
        <v>30.000392572513928</v>
      </c>
      <c r="D56" s="69">
        <v>24.000314058011142</v>
      </c>
      <c r="E56" s="69">
        <v>12.000157029005571</v>
      </c>
      <c r="F56" s="40">
        <v>0</v>
      </c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50">
        <v>66.000863659530637</v>
      </c>
      <c r="BX56" s="60">
        <f>'48hr SPS '!$AZ$53</f>
        <v>15.757379999999998</v>
      </c>
      <c r="BY56" s="57">
        <f t="shared" ref="BY56:BY119" si="48">BW56+BX56</f>
        <v>81.758243659530635</v>
      </c>
      <c r="BZ56">
        <v>4</v>
      </c>
      <c r="CA56" t="s">
        <v>252</v>
      </c>
      <c r="CB56">
        <v>5510.0286785333528</v>
      </c>
      <c r="CC56" t="s">
        <v>980</v>
      </c>
    </row>
    <row r="57" spans="1:81">
      <c r="A57" s="57">
        <f>'24hr SPS'!A57</f>
        <v>4</v>
      </c>
      <c r="B57" s="57">
        <f ca="1">'24hr SPS'!B57</f>
        <v>68.333333333333329</v>
      </c>
      <c r="C57" s="69">
        <v>40.000523430018568</v>
      </c>
      <c r="D57" s="69">
        <v>36.000471087016713</v>
      </c>
      <c r="E57" s="69">
        <v>24.000314058011142</v>
      </c>
      <c r="F57" s="69">
        <v>12.000157029005571</v>
      </c>
      <c r="G57" s="40">
        <v>0</v>
      </c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50">
        <v>112.00146560405199</v>
      </c>
      <c r="BX57" s="60">
        <f>'48hr SPS '!$AZ$53</f>
        <v>15.757379999999998</v>
      </c>
      <c r="BY57" s="57">
        <f t="shared" si="48"/>
        <v>127.75884560405198</v>
      </c>
      <c r="BZ57">
        <v>5</v>
      </c>
      <c r="CA57" t="s">
        <v>253</v>
      </c>
      <c r="CB57">
        <v>5510.0286785333528</v>
      </c>
      <c r="CC57" t="s">
        <v>980</v>
      </c>
    </row>
    <row r="58" spans="1:81">
      <c r="A58" s="57">
        <f>'24hr SPS'!A58</f>
        <v>5</v>
      </c>
      <c r="B58" s="57">
        <f ca="1">'24hr SPS'!B58</f>
        <v>85.416666666666657</v>
      </c>
      <c r="C58" s="69">
        <v>50.000654287523211</v>
      </c>
      <c r="D58" s="69">
        <v>48.000628116022284</v>
      </c>
      <c r="E58" s="69">
        <v>36.000471087016713</v>
      </c>
      <c r="F58" s="69">
        <v>24.000314058011142</v>
      </c>
      <c r="G58" s="69">
        <v>12.000157029005571</v>
      </c>
      <c r="H58" s="40">
        <v>0</v>
      </c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50">
        <v>170.00222457757891</v>
      </c>
      <c r="BX58" s="60">
        <f>'48hr SPS '!$AZ$53</f>
        <v>15.757379999999998</v>
      </c>
      <c r="BY58" s="57">
        <f t="shared" si="48"/>
        <v>185.7596045775789</v>
      </c>
      <c r="BZ58">
        <v>6</v>
      </c>
      <c r="CA58" t="s">
        <v>254</v>
      </c>
      <c r="CB58">
        <v>5510.0286785333528</v>
      </c>
      <c r="CC58" t="s">
        <v>980</v>
      </c>
    </row>
    <row r="59" spans="1:81">
      <c r="A59" s="57">
        <f>'24hr SPS'!A59</f>
        <v>6</v>
      </c>
      <c r="B59" s="57">
        <f ca="1">'24hr SPS'!B59</f>
        <v>102.5</v>
      </c>
      <c r="C59" s="69">
        <v>60.000785145027855</v>
      </c>
      <c r="D59" s="69">
        <v>60.000785145027855</v>
      </c>
      <c r="E59" s="69">
        <v>48.000628116022284</v>
      </c>
      <c r="F59" s="69">
        <v>36.000471087016713</v>
      </c>
      <c r="G59" s="69">
        <v>24.000314058011142</v>
      </c>
      <c r="H59" s="69">
        <v>14.0001832005065</v>
      </c>
      <c r="I59" s="40">
        <v>0</v>
      </c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50">
        <v>242.00316675161235</v>
      </c>
      <c r="BX59" s="60">
        <f>'48hr SPS '!$AZ$53</f>
        <v>15.757379999999998</v>
      </c>
      <c r="BY59" s="57">
        <f t="shared" si="48"/>
        <v>257.76054675161237</v>
      </c>
      <c r="BZ59">
        <v>7</v>
      </c>
      <c r="CA59" t="s">
        <v>255</v>
      </c>
      <c r="CB59">
        <v>5510.0286785333528</v>
      </c>
      <c r="CC59" t="s">
        <v>980</v>
      </c>
    </row>
    <row r="60" spans="1:81">
      <c r="A60" s="57">
        <f>'24hr SPS'!A60</f>
        <v>7</v>
      </c>
      <c r="B60" s="57">
        <f ca="1">'24hr SPS'!B60</f>
        <v>153.75</v>
      </c>
      <c r="C60" s="69">
        <v>90.001177717541779</v>
      </c>
      <c r="D60" s="69">
        <v>72.000942174033426</v>
      </c>
      <c r="E60" s="69">
        <v>60.000785145027855</v>
      </c>
      <c r="F60" s="69">
        <v>48.000628116022284</v>
      </c>
      <c r="G60" s="69">
        <v>36.000471087016713</v>
      </c>
      <c r="H60" s="69">
        <v>28.000366401013</v>
      </c>
      <c r="I60" s="69">
        <v>16.000209372007429</v>
      </c>
      <c r="J60" s="40">
        <v>0</v>
      </c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50">
        <v>350.00458001266247</v>
      </c>
      <c r="BX60" s="60">
        <f>'48hr SPS '!$AZ$53</f>
        <v>15.757379999999998</v>
      </c>
      <c r="BY60" s="57">
        <f t="shared" si="48"/>
        <v>365.76196001266248</v>
      </c>
      <c r="BZ60">
        <v>8</v>
      </c>
      <c r="CA60" t="s">
        <v>256</v>
      </c>
      <c r="CB60">
        <v>5510.0286785333528</v>
      </c>
      <c r="CC60" t="s">
        <v>980</v>
      </c>
    </row>
    <row r="61" spans="1:81">
      <c r="A61" s="57">
        <f>'24hr SPS'!A61</f>
        <v>8</v>
      </c>
      <c r="B61" s="57">
        <f ca="1">'24hr SPS'!B61</f>
        <v>179.375</v>
      </c>
      <c r="C61" s="69">
        <v>105.00137400379874</v>
      </c>
      <c r="D61" s="69">
        <v>108.00141326105015</v>
      </c>
      <c r="E61" s="69">
        <v>72.000942174033426</v>
      </c>
      <c r="F61" s="69">
        <v>60.000785145027855</v>
      </c>
      <c r="G61" s="69">
        <v>48.000628116022284</v>
      </c>
      <c r="H61" s="69">
        <v>42.000549601519502</v>
      </c>
      <c r="I61" s="69">
        <v>32.000418744014858</v>
      </c>
      <c r="J61" s="69">
        <v>28.000366401013</v>
      </c>
      <c r="K61" s="40">
        <v>0</v>
      </c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50">
        <v>495.00647744647978</v>
      </c>
      <c r="BX61" s="60">
        <f>'48hr SPS '!$AZ$53</f>
        <v>15.757379999999998</v>
      </c>
      <c r="BY61" s="57">
        <f t="shared" si="48"/>
        <v>510.76385744647979</v>
      </c>
      <c r="BZ61">
        <v>9</v>
      </c>
      <c r="CA61" t="s">
        <v>257</v>
      </c>
      <c r="CB61">
        <v>5510.0286785333528</v>
      </c>
      <c r="CC61" t="s">
        <v>980</v>
      </c>
    </row>
    <row r="62" spans="1:81">
      <c r="A62" s="57">
        <f>'24hr SPS'!A62</f>
        <v>9</v>
      </c>
      <c r="B62" s="57">
        <f ca="1">'24hr SPS'!B62</f>
        <v>205</v>
      </c>
      <c r="C62" s="69">
        <v>120.00157029005571</v>
      </c>
      <c r="D62" s="69">
        <v>126.0016488045585</v>
      </c>
      <c r="E62" s="69">
        <v>108.00141326105015</v>
      </c>
      <c r="F62" s="69">
        <v>72.000942174033426</v>
      </c>
      <c r="G62" s="69">
        <v>60.000785145027855</v>
      </c>
      <c r="H62" s="69">
        <v>56.000732802026</v>
      </c>
      <c r="I62" s="69">
        <v>48.000628116022291</v>
      </c>
      <c r="J62" s="69">
        <v>56.000732802026</v>
      </c>
      <c r="K62" s="69">
        <v>42.000549601519495</v>
      </c>
      <c r="L62" s="40">
        <v>0</v>
      </c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50">
        <v>688.00900299631962</v>
      </c>
      <c r="BX62" s="60">
        <f>'48hr SPS '!$AZ$53</f>
        <v>15.757379999999998</v>
      </c>
      <c r="BY62" s="57">
        <f t="shared" si="48"/>
        <v>703.76638299631963</v>
      </c>
      <c r="BZ62">
        <v>10</v>
      </c>
      <c r="CA62" t="s">
        <v>258</v>
      </c>
      <c r="CB62">
        <v>5510.0286785333528</v>
      </c>
      <c r="CC62" t="s">
        <v>980</v>
      </c>
    </row>
    <row r="63" spans="1:81">
      <c r="A63" s="57">
        <f>'24hr SPS'!A63</f>
        <v>10</v>
      </c>
      <c r="B63" s="57">
        <f ca="1">'24hr SPS'!B63</f>
        <v>187.91666666666669</v>
      </c>
      <c r="C63" s="69">
        <v>110.00143943255108</v>
      </c>
      <c r="D63" s="69">
        <v>144.00188434806685</v>
      </c>
      <c r="E63" s="69">
        <v>126.0016488045585</v>
      </c>
      <c r="F63" s="69">
        <v>108.00141326105015</v>
      </c>
      <c r="G63" s="69">
        <v>72.000942174033426</v>
      </c>
      <c r="H63" s="69">
        <v>70.000916002532492</v>
      </c>
      <c r="I63" s="69">
        <v>64.000837488029717</v>
      </c>
      <c r="J63" s="69">
        <v>84.001099203039004</v>
      </c>
      <c r="K63" s="69">
        <v>84.00109920303899</v>
      </c>
      <c r="L63" s="69">
        <v>16.000209372007429</v>
      </c>
      <c r="M63" s="40">
        <v>0</v>
      </c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50">
        <v>878.01148928890757</v>
      </c>
      <c r="BX63" s="60">
        <f>'48hr SPS '!$AZ$53</f>
        <v>15.757379999999998</v>
      </c>
      <c r="BY63" s="57">
        <f t="shared" si="48"/>
        <v>893.76886928890758</v>
      </c>
      <c r="BZ63">
        <v>11</v>
      </c>
      <c r="CA63" t="s">
        <v>259</v>
      </c>
      <c r="CB63">
        <v>5510.0286785333528</v>
      </c>
      <c r="CC63" t="s">
        <v>980</v>
      </c>
    </row>
    <row r="64" spans="1:81">
      <c r="A64" s="57">
        <f>'24hr SPS'!A64</f>
        <v>11</v>
      </c>
      <c r="B64" s="57">
        <f ca="1">'24hr SPS'!B64</f>
        <v>170.83333333333334</v>
      </c>
      <c r="C64" s="69">
        <v>100.00130857504644</v>
      </c>
      <c r="D64" s="69">
        <v>132.0017273190613</v>
      </c>
      <c r="E64" s="69">
        <v>144.00188434806685</v>
      </c>
      <c r="F64" s="69">
        <v>126.0016488045585</v>
      </c>
      <c r="G64" s="69">
        <v>108.00141326105015</v>
      </c>
      <c r="H64" s="69">
        <v>84.001099203039004</v>
      </c>
      <c r="I64" s="69">
        <v>80.001046860037135</v>
      </c>
      <c r="J64" s="69">
        <v>112.001465604052</v>
      </c>
      <c r="K64" s="69">
        <v>126.0016488045585</v>
      </c>
      <c r="L64" s="69">
        <v>32.000418744014858</v>
      </c>
      <c r="M64" s="69">
        <v>14.0001832005065</v>
      </c>
      <c r="N64" s="40">
        <v>0</v>
      </c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50">
        <v>1058.013844723991</v>
      </c>
      <c r="BX64" s="60">
        <f>'48hr SPS '!$AZ$53</f>
        <v>15.757379999999998</v>
      </c>
      <c r="BY64" s="57">
        <f t="shared" si="48"/>
        <v>1073.7712247239911</v>
      </c>
      <c r="BZ64">
        <v>12</v>
      </c>
      <c r="CA64" t="s">
        <v>260</v>
      </c>
      <c r="CB64">
        <v>5510.0286785333528</v>
      </c>
      <c r="CC64" t="s">
        <v>980</v>
      </c>
    </row>
    <row r="65" spans="1:81">
      <c r="A65" s="57">
        <f>'24hr SPS'!A65</f>
        <v>12</v>
      </c>
      <c r="B65" s="57">
        <f ca="1">'24hr SPS'!B65</f>
        <v>153.75</v>
      </c>
      <c r="C65" s="69">
        <v>90.001177717541779</v>
      </c>
      <c r="D65" s="69">
        <v>120.00157029005572</v>
      </c>
      <c r="E65" s="69">
        <v>132.0017273190613</v>
      </c>
      <c r="F65" s="69">
        <v>144.00188434806685</v>
      </c>
      <c r="G65" s="69">
        <v>126.0016488045585</v>
      </c>
      <c r="H65" s="69">
        <v>126.00164880455851</v>
      </c>
      <c r="I65" s="69">
        <v>96.001256232044582</v>
      </c>
      <c r="J65" s="69">
        <v>140.00183200506498</v>
      </c>
      <c r="K65" s="69">
        <v>168.00219840607798</v>
      </c>
      <c r="L65" s="69">
        <v>48.000628116022291</v>
      </c>
      <c r="M65" s="69">
        <v>28.000366401013</v>
      </c>
      <c r="N65" s="69">
        <v>12.000157029005571</v>
      </c>
      <c r="O65" s="40">
        <v>0</v>
      </c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50">
        <v>1230.0160954730711</v>
      </c>
      <c r="BX65" s="60">
        <f>'48hr SPS '!$AZ$53</f>
        <v>15.757379999999998</v>
      </c>
      <c r="BY65" s="57">
        <f t="shared" si="48"/>
        <v>1245.7734754730711</v>
      </c>
      <c r="BZ65">
        <v>13</v>
      </c>
      <c r="CA65" t="s">
        <v>261</v>
      </c>
      <c r="CB65">
        <v>5510.0286785333528</v>
      </c>
      <c r="CC65" t="s">
        <v>980</v>
      </c>
    </row>
    <row r="66" spans="1:81">
      <c r="A66" s="57">
        <f>'24hr SPS'!A66</f>
        <v>13</v>
      </c>
      <c r="B66" s="57">
        <f ca="1">'24hr SPS'!B66</f>
        <v>136.66666666666669</v>
      </c>
      <c r="C66" s="69">
        <v>80.00104686003715</v>
      </c>
      <c r="D66" s="69">
        <v>108.00141326105015</v>
      </c>
      <c r="E66" s="69">
        <v>120.00157029005572</v>
      </c>
      <c r="F66" s="69">
        <v>132.0017273190613</v>
      </c>
      <c r="G66" s="69">
        <v>144.00188434806685</v>
      </c>
      <c r="H66" s="69">
        <v>147.00192360531827</v>
      </c>
      <c r="I66" s="69">
        <v>144.00188434806688</v>
      </c>
      <c r="J66" s="69">
        <v>168.00219840607801</v>
      </c>
      <c r="K66" s="69">
        <v>210.00274800759749</v>
      </c>
      <c r="L66" s="69">
        <v>64.000837488029717</v>
      </c>
      <c r="M66" s="69">
        <v>42.000549601519502</v>
      </c>
      <c r="N66" s="69">
        <v>24.000314058011142</v>
      </c>
      <c r="O66" s="69">
        <v>17.628514383945664</v>
      </c>
      <c r="P66" s="69">
        <v>0</v>
      </c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50">
        <v>1400.6466119768377</v>
      </c>
      <c r="BX66" s="60">
        <f>'48hr SPS '!$AZ$53</f>
        <v>15.757379999999998</v>
      </c>
      <c r="BY66" s="57">
        <f t="shared" si="48"/>
        <v>1416.4039919768377</v>
      </c>
      <c r="BZ66">
        <v>14</v>
      </c>
      <c r="CA66" t="s">
        <v>262</v>
      </c>
      <c r="CB66">
        <v>5510.0286785333528</v>
      </c>
      <c r="CC66" t="s">
        <v>980</v>
      </c>
    </row>
    <row r="67" spans="1:81">
      <c r="A67" s="57">
        <f>'24hr SPS'!A67</f>
        <v>14</v>
      </c>
      <c r="B67" s="57">
        <f ca="1">'24hr SPS'!B67</f>
        <v>119.58333333333334</v>
      </c>
      <c r="C67" s="69">
        <v>70.000916002532506</v>
      </c>
      <c r="D67" s="69">
        <v>96.001256232044582</v>
      </c>
      <c r="E67" s="69">
        <v>108.00141326105015</v>
      </c>
      <c r="F67" s="69">
        <v>120.00157029005572</v>
      </c>
      <c r="G67" s="69">
        <v>132.0017273190613</v>
      </c>
      <c r="H67" s="69">
        <v>168.00219840607801</v>
      </c>
      <c r="I67" s="69">
        <v>168.00219840607801</v>
      </c>
      <c r="J67" s="69">
        <v>252.00329760911703</v>
      </c>
      <c r="K67" s="69">
        <v>252.003297609117</v>
      </c>
      <c r="L67" s="69">
        <v>80.001046860037135</v>
      </c>
      <c r="M67" s="69">
        <v>56.000732802026</v>
      </c>
      <c r="N67" s="69">
        <v>36.000471087016713</v>
      </c>
      <c r="O67" s="69">
        <v>35.257028767891327</v>
      </c>
      <c r="P67" s="69">
        <v>21.154217260734796</v>
      </c>
      <c r="Q67" s="69">
        <v>0</v>
      </c>
      <c r="R67" s="40"/>
      <c r="S67" s="40"/>
      <c r="T67" s="40"/>
      <c r="U67" s="40"/>
      <c r="V67" s="40"/>
      <c r="W67" s="40"/>
      <c r="X67" s="40"/>
      <c r="Y67" s="40"/>
      <c r="Z67" s="40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50">
        <v>1594.4313719128404</v>
      </c>
      <c r="BX67" s="60">
        <f>'48hr SPS '!$AZ$53</f>
        <v>15.757379999999998</v>
      </c>
      <c r="BY67" s="57">
        <f t="shared" si="48"/>
        <v>1610.1887519128404</v>
      </c>
      <c r="BZ67">
        <v>15</v>
      </c>
      <c r="CA67" t="s">
        <v>263</v>
      </c>
      <c r="CB67">
        <v>5510.0286785333528</v>
      </c>
      <c r="CC67" t="s">
        <v>980</v>
      </c>
    </row>
    <row r="68" spans="1:81">
      <c r="A68" s="57">
        <f>'24hr SPS'!A68</f>
        <v>15</v>
      </c>
      <c r="B68" s="57">
        <f ca="1">'24hr SPS'!B68</f>
        <v>102.50000000000001</v>
      </c>
      <c r="C68" s="69">
        <v>60.000785145027862</v>
      </c>
      <c r="D68" s="69">
        <v>84.001099203039004</v>
      </c>
      <c r="E68" s="69">
        <v>96.001256232044582</v>
      </c>
      <c r="F68" s="69">
        <v>108.00141326105015</v>
      </c>
      <c r="G68" s="69">
        <v>120.00157029005572</v>
      </c>
      <c r="H68" s="69">
        <v>154.00201520557152</v>
      </c>
      <c r="I68" s="69">
        <v>192.00251246408916</v>
      </c>
      <c r="J68" s="69">
        <v>294.00384721063654</v>
      </c>
      <c r="K68" s="69">
        <v>378.0049464136755</v>
      </c>
      <c r="L68" s="69">
        <v>96.001256232044582</v>
      </c>
      <c r="M68" s="69">
        <v>70.000916002532492</v>
      </c>
      <c r="N68" s="69">
        <v>48.000628116022284</v>
      </c>
      <c r="O68" s="69">
        <v>52.885543151836998</v>
      </c>
      <c r="P68" s="69">
        <v>42.308434521469593</v>
      </c>
      <c r="Q68" s="69">
        <v>21.154217260734796</v>
      </c>
      <c r="R68" s="69">
        <v>0</v>
      </c>
      <c r="S68" s="40"/>
      <c r="T68" s="40"/>
      <c r="U68" s="40"/>
      <c r="V68" s="40"/>
      <c r="W68" s="40"/>
      <c r="X68" s="40"/>
      <c r="Y68" s="40"/>
      <c r="Z68" s="40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50">
        <v>1816.3704407098307</v>
      </c>
      <c r="BX68" s="60">
        <f>'48hr SPS '!$AZ$53</f>
        <v>15.757379999999998</v>
      </c>
      <c r="BY68" s="57">
        <f t="shared" si="48"/>
        <v>1832.1278207098308</v>
      </c>
      <c r="BZ68">
        <v>16</v>
      </c>
      <c r="CA68" t="s">
        <v>264</v>
      </c>
      <c r="CB68">
        <v>5510.0286785333528</v>
      </c>
      <c r="CC68" t="s">
        <v>980</v>
      </c>
    </row>
    <row r="69" spans="1:81">
      <c r="A69" s="57">
        <f>'24hr SPS'!A69</f>
        <v>16</v>
      </c>
      <c r="B69" s="57">
        <f ca="1">'24hr SPS'!B69</f>
        <v>96.805555555555571</v>
      </c>
      <c r="C69" s="69">
        <v>56.667408192526317</v>
      </c>
      <c r="D69" s="69">
        <v>72.00094217403344</v>
      </c>
      <c r="E69" s="69">
        <v>84.001099203039004</v>
      </c>
      <c r="F69" s="69">
        <v>96.001256232044582</v>
      </c>
      <c r="G69" s="69">
        <v>108.00141326105015</v>
      </c>
      <c r="H69" s="69">
        <v>140.00183200506501</v>
      </c>
      <c r="I69" s="69">
        <v>176.00230309208175</v>
      </c>
      <c r="J69" s="69">
        <v>336.00439681215602</v>
      </c>
      <c r="K69" s="69">
        <v>441.00577081595475</v>
      </c>
      <c r="L69" s="69">
        <v>144.00188434806688</v>
      </c>
      <c r="M69" s="69">
        <v>84.001099203039004</v>
      </c>
      <c r="N69" s="69">
        <v>60.000785145027855</v>
      </c>
      <c r="O69" s="69">
        <v>70.514057535782655</v>
      </c>
      <c r="P69" s="69">
        <v>63.462651782204397</v>
      </c>
      <c r="Q69" s="69">
        <v>42.308434521469593</v>
      </c>
      <c r="R69" s="69">
        <v>21.154217260734796</v>
      </c>
      <c r="S69" s="69">
        <v>0</v>
      </c>
      <c r="T69" s="40"/>
      <c r="U69" s="40"/>
      <c r="V69" s="40"/>
      <c r="W69" s="40"/>
      <c r="X69" s="40"/>
      <c r="Y69" s="40"/>
      <c r="Z69" s="40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50">
        <v>1995.1295515842762</v>
      </c>
      <c r="BX69" s="60">
        <f>'48hr SPS '!$AZ$53</f>
        <v>15.757379999999998</v>
      </c>
      <c r="BY69" s="57">
        <f t="shared" si="48"/>
        <v>2010.8869315842762</v>
      </c>
      <c r="BZ69">
        <v>17</v>
      </c>
      <c r="CA69" t="s">
        <v>265</v>
      </c>
      <c r="CB69">
        <v>5510.0286785333528</v>
      </c>
      <c r="CC69" t="s">
        <v>980</v>
      </c>
    </row>
    <row r="70" spans="1:81">
      <c r="A70" s="57">
        <f>'24hr SPS'!A70</f>
        <v>17</v>
      </c>
      <c r="B70" s="57">
        <f ca="1">'24hr SPS'!B70</f>
        <v>91.111111111111128</v>
      </c>
      <c r="C70" s="69">
        <v>53.334031240024771</v>
      </c>
      <c r="D70" s="69">
        <v>68.000889831031586</v>
      </c>
      <c r="E70" s="57">
        <v>72.00094217403344</v>
      </c>
      <c r="F70" s="57">
        <v>84.001099203039004</v>
      </c>
      <c r="G70" s="57">
        <v>96.001256232044582</v>
      </c>
      <c r="H70" s="57">
        <v>126.00164880455851</v>
      </c>
      <c r="I70" s="57">
        <v>160.0020937200743</v>
      </c>
      <c r="J70" s="57">
        <v>308.00403041114305</v>
      </c>
      <c r="K70" s="57">
        <v>504.006595218234</v>
      </c>
      <c r="L70" s="57">
        <v>168.00219840607801</v>
      </c>
      <c r="M70" s="57">
        <v>126.00164880455851</v>
      </c>
      <c r="N70" s="57">
        <v>72.000942174033426</v>
      </c>
      <c r="O70" s="57">
        <v>88.142571919728326</v>
      </c>
      <c r="P70" s="57">
        <v>84.616869042939186</v>
      </c>
      <c r="Q70" s="57">
        <v>63.462651782204397</v>
      </c>
      <c r="R70" s="57">
        <v>42.308434521469593</v>
      </c>
      <c r="S70" s="57">
        <v>21.154217260734796</v>
      </c>
      <c r="T70" s="57">
        <v>0</v>
      </c>
      <c r="U70" s="45"/>
      <c r="V70" s="45"/>
      <c r="W70" s="45"/>
      <c r="X70" s="45"/>
      <c r="Y70" s="45"/>
      <c r="Z70" s="45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50">
        <v>2137.0421207459299</v>
      </c>
      <c r="BX70" s="60">
        <f>'48hr SPS '!$AZ$53</f>
        <v>15.757379999999998</v>
      </c>
      <c r="BY70" s="57">
        <f t="shared" si="48"/>
        <v>2152.7995007459299</v>
      </c>
      <c r="BZ70">
        <v>18</v>
      </c>
      <c r="CA70" t="s">
        <v>266</v>
      </c>
      <c r="CB70">
        <v>5510.0286785333528</v>
      </c>
      <c r="CC70" t="s">
        <v>980</v>
      </c>
    </row>
    <row r="71" spans="1:81">
      <c r="A71" s="57">
        <f>'24hr SPS'!A71</f>
        <v>18</v>
      </c>
      <c r="B71" s="57">
        <f ca="1">'24hr SPS'!B71</f>
        <v>85.416666666666686</v>
      </c>
      <c r="C71" s="69">
        <v>50.000654287523226</v>
      </c>
      <c r="D71" s="69">
        <v>64.000837488029731</v>
      </c>
      <c r="E71" s="69">
        <v>68.000889831031586</v>
      </c>
      <c r="F71" s="69">
        <v>72.00094217403344</v>
      </c>
      <c r="G71" s="69">
        <v>84.001099203039004</v>
      </c>
      <c r="H71" s="69">
        <v>112.00146560405202</v>
      </c>
      <c r="I71" s="69">
        <v>144.00188434806688</v>
      </c>
      <c r="J71" s="69">
        <v>280.00366401013002</v>
      </c>
      <c r="K71" s="69">
        <v>462.00604561671457</v>
      </c>
      <c r="L71" s="69">
        <v>192.00251246408916</v>
      </c>
      <c r="M71" s="69">
        <v>147.00192360531827</v>
      </c>
      <c r="N71" s="69">
        <v>108.00141326105015</v>
      </c>
      <c r="O71" s="69">
        <v>105.771086303674</v>
      </c>
      <c r="P71" s="69">
        <v>105.77108630367398</v>
      </c>
      <c r="Q71" s="69">
        <v>84.616869042939186</v>
      </c>
      <c r="R71" s="69">
        <v>63.462651782204397</v>
      </c>
      <c r="S71" s="69">
        <v>42.308434521469593</v>
      </c>
      <c r="T71" s="69">
        <v>24.679920137523933</v>
      </c>
      <c r="U71" s="69">
        <v>0</v>
      </c>
      <c r="V71" s="40"/>
      <c r="W71" s="40"/>
      <c r="X71" s="40"/>
      <c r="Y71" s="40"/>
      <c r="Z71" s="40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50">
        <v>2209.6333799845634</v>
      </c>
      <c r="BX71" s="60">
        <f>'48hr SPS '!$AZ$53</f>
        <v>15.757379999999998</v>
      </c>
      <c r="BY71" s="57">
        <f t="shared" si="48"/>
        <v>2225.3907599845634</v>
      </c>
      <c r="BZ71">
        <v>19</v>
      </c>
      <c r="CA71" t="s">
        <v>267</v>
      </c>
      <c r="CB71">
        <v>5510.0286785333528</v>
      </c>
      <c r="CC71" t="s">
        <v>980</v>
      </c>
    </row>
    <row r="72" spans="1:81">
      <c r="A72" s="57">
        <f>'24hr SPS'!A72</f>
        <v>19</v>
      </c>
      <c r="B72" s="57">
        <f ca="1">'24hr SPS'!B72</f>
        <v>79.722222222222243</v>
      </c>
      <c r="C72" s="69">
        <v>46.66727733502168</v>
      </c>
      <c r="D72" s="69">
        <v>60.000785145027869</v>
      </c>
      <c r="E72" s="69">
        <v>64.000837488029731</v>
      </c>
      <c r="F72" s="69">
        <v>68.000889831031586</v>
      </c>
      <c r="G72" s="69">
        <v>72.00094217403344</v>
      </c>
      <c r="H72" s="69">
        <v>98.001282403545517</v>
      </c>
      <c r="I72" s="69">
        <v>128.00167497605946</v>
      </c>
      <c r="J72" s="69">
        <v>252.00329760911703</v>
      </c>
      <c r="K72" s="69">
        <v>420.00549601519504</v>
      </c>
      <c r="L72" s="69">
        <v>176.00230309208175</v>
      </c>
      <c r="M72" s="69">
        <v>168.00219840607801</v>
      </c>
      <c r="N72" s="69">
        <v>126.0016488045585</v>
      </c>
      <c r="O72" s="69">
        <v>158.65662945551099</v>
      </c>
      <c r="P72" s="69">
        <v>126.92530356440879</v>
      </c>
      <c r="Q72" s="69">
        <v>105.77108630367398</v>
      </c>
      <c r="R72" s="69">
        <v>84.616869042939186</v>
      </c>
      <c r="S72" s="69">
        <v>63.462651782204397</v>
      </c>
      <c r="T72" s="69">
        <v>49.359840275047866</v>
      </c>
      <c r="U72" s="69">
        <v>28.205623014313066</v>
      </c>
      <c r="V72" s="69">
        <v>0</v>
      </c>
      <c r="W72" s="40"/>
      <c r="X72" s="40"/>
      <c r="Y72" s="40"/>
      <c r="Z72" s="40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50">
        <v>2295.6866367178773</v>
      </c>
      <c r="BX72" s="60">
        <f>'48hr SPS '!$AZ$53</f>
        <v>15.757379999999998</v>
      </c>
      <c r="BY72" s="57">
        <f t="shared" si="48"/>
        <v>2311.4440167178773</v>
      </c>
      <c r="BZ72">
        <v>20</v>
      </c>
      <c r="CA72" t="s">
        <v>268</v>
      </c>
      <c r="CB72">
        <v>5510.0286785333528</v>
      </c>
      <c r="CC72" t="s">
        <v>980</v>
      </c>
    </row>
    <row r="73" spans="1:81">
      <c r="A73" s="57">
        <f>'24hr SPS'!A73</f>
        <v>20</v>
      </c>
      <c r="B73" s="57">
        <f ca="1">'24hr SPS'!B73</f>
        <v>74.0277777777778</v>
      </c>
      <c r="C73" s="69">
        <v>43.333900382520135</v>
      </c>
      <c r="D73" s="69">
        <v>56.000732802026015</v>
      </c>
      <c r="E73" s="69">
        <v>60.000785145027869</v>
      </c>
      <c r="F73" s="69">
        <v>64.000837488029731</v>
      </c>
      <c r="G73" s="69">
        <v>68.000889831031586</v>
      </c>
      <c r="H73" s="69">
        <v>84.001099203039018</v>
      </c>
      <c r="I73" s="69">
        <v>112.00146560405202</v>
      </c>
      <c r="J73" s="69">
        <v>224.00293120810403</v>
      </c>
      <c r="K73" s="69">
        <v>378.0049464136755</v>
      </c>
      <c r="L73" s="69">
        <v>160.0020937200743</v>
      </c>
      <c r="M73" s="69">
        <v>154.00201520557152</v>
      </c>
      <c r="N73" s="69">
        <v>144.00188434806685</v>
      </c>
      <c r="O73" s="69">
        <v>185.09940103142949</v>
      </c>
      <c r="P73" s="69">
        <v>190.38795534661318</v>
      </c>
      <c r="Q73" s="69">
        <v>126.92530356440879</v>
      </c>
      <c r="R73" s="69">
        <v>105.77108630367398</v>
      </c>
      <c r="S73" s="69">
        <v>84.616869042939186</v>
      </c>
      <c r="T73" s="69">
        <v>74.039760412571795</v>
      </c>
      <c r="U73" s="69">
        <v>56.411246028626131</v>
      </c>
      <c r="V73" s="69">
        <v>49.359840275047866</v>
      </c>
      <c r="W73" s="69">
        <v>0</v>
      </c>
      <c r="X73" s="40"/>
      <c r="Y73" s="40"/>
      <c r="Z73" s="40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50">
        <v>2419.9650433565289</v>
      </c>
      <c r="BX73" s="60">
        <f>'48hr SPS '!$AZ$53</f>
        <v>15.757379999999998</v>
      </c>
      <c r="BY73" s="57">
        <f t="shared" si="48"/>
        <v>2435.7224233565289</v>
      </c>
      <c r="BZ73">
        <v>21</v>
      </c>
      <c r="CA73" t="s">
        <v>269</v>
      </c>
      <c r="CB73">
        <v>5510.0286785333528</v>
      </c>
      <c r="CC73" t="s">
        <v>980</v>
      </c>
    </row>
    <row r="74" spans="1:81">
      <c r="A74" s="57">
        <f>'24hr SPS'!A74</f>
        <v>21</v>
      </c>
      <c r="B74" s="57">
        <f ca="1">'24hr SPS'!B74</f>
        <v>68.333333333333343</v>
      </c>
      <c r="C74" s="69">
        <v>40.000523430018575</v>
      </c>
      <c r="D74" s="69">
        <v>52.00068045902416</v>
      </c>
      <c r="E74" s="69">
        <v>56.000732802026015</v>
      </c>
      <c r="F74" s="69">
        <v>60.000785145027869</v>
      </c>
      <c r="G74" s="69">
        <v>64.000837488029731</v>
      </c>
      <c r="H74" s="69">
        <v>79.334371469536848</v>
      </c>
      <c r="I74" s="69">
        <v>96.001256232044597</v>
      </c>
      <c r="J74" s="69">
        <v>196.00256480709103</v>
      </c>
      <c r="K74" s="69">
        <v>336.00439681215607</v>
      </c>
      <c r="L74" s="69">
        <v>144.00188434806688</v>
      </c>
      <c r="M74" s="69">
        <v>140.00183200506501</v>
      </c>
      <c r="N74" s="69">
        <v>132.0017273190613</v>
      </c>
      <c r="O74" s="69">
        <v>211.54217260734799</v>
      </c>
      <c r="P74" s="69">
        <v>222.1192812377154</v>
      </c>
      <c r="Q74" s="69">
        <v>190.38795534661318</v>
      </c>
      <c r="R74" s="69">
        <v>126.92530356440879</v>
      </c>
      <c r="S74" s="69">
        <v>105.77108630367398</v>
      </c>
      <c r="T74" s="69">
        <v>98.719680550095731</v>
      </c>
      <c r="U74" s="69">
        <v>84.6168690429392</v>
      </c>
      <c r="V74" s="69">
        <v>98.719680550095731</v>
      </c>
      <c r="W74" s="69">
        <v>74.039760412571795</v>
      </c>
      <c r="X74" s="40">
        <v>0</v>
      </c>
      <c r="Y74" s="40"/>
      <c r="Z74" s="40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50">
        <v>2608.19338193261</v>
      </c>
      <c r="BX74" s="60">
        <f>'48hr SPS '!$AZ$53</f>
        <v>15.757379999999998</v>
      </c>
      <c r="BY74" s="57">
        <f t="shared" si="48"/>
        <v>2623.95076193261</v>
      </c>
      <c r="BZ74">
        <v>22</v>
      </c>
      <c r="CA74" t="s">
        <v>270</v>
      </c>
      <c r="CB74">
        <v>5510.0286785333528</v>
      </c>
      <c r="CC74" t="s">
        <v>980</v>
      </c>
    </row>
    <row r="75" spans="1:81">
      <c r="A75" s="57">
        <f>'24hr SPS'!A75</f>
        <v>22</v>
      </c>
      <c r="B75" s="57">
        <f ca="1">'24hr SPS'!B75</f>
        <v>62.6388888888889</v>
      </c>
      <c r="C75" s="69">
        <v>36.667146477517029</v>
      </c>
      <c r="D75" s="69">
        <v>48.000628116022291</v>
      </c>
      <c r="E75" s="69">
        <v>52.00068045902416</v>
      </c>
      <c r="F75" s="69">
        <v>56.000732802026015</v>
      </c>
      <c r="G75" s="69">
        <v>60.000785145027869</v>
      </c>
      <c r="H75" s="69">
        <v>74.667643736034691</v>
      </c>
      <c r="I75" s="69">
        <v>90.66785310804211</v>
      </c>
      <c r="J75" s="69">
        <v>168.00219840607804</v>
      </c>
      <c r="K75" s="69">
        <v>294.00384721063654</v>
      </c>
      <c r="L75" s="69">
        <v>128.00167497605946</v>
      </c>
      <c r="M75" s="69">
        <v>126.00164880455851</v>
      </c>
      <c r="N75" s="69">
        <v>120.00157029005572</v>
      </c>
      <c r="O75" s="69">
        <v>193.91365822340234</v>
      </c>
      <c r="P75" s="69">
        <v>253.85060712881759</v>
      </c>
      <c r="Q75" s="69">
        <v>222.1192812377154</v>
      </c>
      <c r="R75" s="69">
        <v>190.38795534661318</v>
      </c>
      <c r="S75" s="69">
        <v>126.92530356440879</v>
      </c>
      <c r="T75" s="69">
        <v>123.39960068761965</v>
      </c>
      <c r="U75" s="69">
        <v>112.82249205725226</v>
      </c>
      <c r="V75" s="69">
        <v>148.07952082514359</v>
      </c>
      <c r="W75" s="69">
        <v>148.07952082514359</v>
      </c>
      <c r="X75" s="69">
        <v>28.205623014313066</v>
      </c>
      <c r="Y75" s="40">
        <v>0</v>
      </c>
      <c r="Z75" s="40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50">
        <v>2801.7999724415113</v>
      </c>
      <c r="BX75" s="60">
        <f>'48hr SPS '!$AZ$53</f>
        <v>15.757379999999998</v>
      </c>
      <c r="BY75" s="57">
        <f t="shared" si="48"/>
        <v>2817.5573524415113</v>
      </c>
      <c r="BZ75">
        <v>23</v>
      </c>
      <c r="CA75" t="s">
        <v>271</v>
      </c>
      <c r="CB75">
        <v>5510.0286785333528</v>
      </c>
      <c r="CC75" t="s">
        <v>980</v>
      </c>
    </row>
    <row r="76" spans="1:81">
      <c r="A76" s="57">
        <f>'24hr SPS'!A76</f>
        <v>23</v>
      </c>
      <c r="B76" s="57">
        <f ca="1">'24hr SPS'!B76</f>
        <v>56.944444444444457</v>
      </c>
      <c r="C76" s="69">
        <v>33.333769525015484</v>
      </c>
      <c r="D76" s="69">
        <v>44.000575773020437</v>
      </c>
      <c r="E76" s="69">
        <v>48.000628116022291</v>
      </c>
      <c r="F76" s="69">
        <v>52.00068045902416</v>
      </c>
      <c r="G76" s="69">
        <v>56.000732802026015</v>
      </c>
      <c r="H76" s="69">
        <v>70.00091600253252</v>
      </c>
      <c r="I76" s="69">
        <v>85.334449984039637</v>
      </c>
      <c r="J76" s="69">
        <v>158.6687429390737</v>
      </c>
      <c r="K76" s="69">
        <v>252.00329760911703</v>
      </c>
      <c r="L76" s="69">
        <v>112.00146560405202</v>
      </c>
      <c r="M76" s="69">
        <v>112.00146560405202</v>
      </c>
      <c r="N76" s="69">
        <v>108.00141326105015</v>
      </c>
      <c r="O76" s="69">
        <v>176.28514383945668</v>
      </c>
      <c r="P76" s="69">
        <v>232.6963898680828</v>
      </c>
      <c r="Q76" s="69">
        <v>253.85060712881759</v>
      </c>
      <c r="R76" s="69">
        <v>222.1192812377154</v>
      </c>
      <c r="S76" s="69">
        <v>190.38795534661318</v>
      </c>
      <c r="T76" s="69">
        <v>148.07952082514359</v>
      </c>
      <c r="U76" s="69">
        <v>141.02811507156531</v>
      </c>
      <c r="V76" s="69">
        <v>197.43936110019146</v>
      </c>
      <c r="W76" s="69">
        <v>222.1192812377154</v>
      </c>
      <c r="X76" s="69">
        <v>56.411246028626131</v>
      </c>
      <c r="Y76" s="69">
        <v>24.679920137523933</v>
      </c>
      <c r="Z76" s="69">
        <v>0</v>
      </c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50">
        <v>2996.4449595004762</v>
      </c>
      <c r="BX76" s="60">
        <f>'48hr SPS '!$AZ$53</f>
        <v>15.757379999999998</v>
      </c>
      <c r="BY76" s="57">
        <f t="shared" si="48"/>
        <v>3012.2023395004762</v>
      </c>
      <c r="BZ76">
        <v>24</v>
      </c>
      <c r="CA76" t="s">
        <v>272</v>
      </c>
      <c r="CB76">
        <v>5510.0286785333528</v>
      </c>
      <c r="CC76" t="s">
        <v>980</v>
      </c>
    </row>
    <row r="77" spans="1:81">
      <c r="A77" s="57">
        <f>'24hr SPS'!A77</f>
        <v>24</v>
      </c>
      <c r="B77" s="57">
        <f ca="1">'24hr SPS'!B77</f>
        <v>51.25</v>
      </c>
      <c r="C77" s="69">
        <v>30.000392572513928</v>
      </c>
      <c r="D77" s="69">
        <v>40.000523430018582</v>
      </c>
      <c r="E77" s="69">
        <v>44.000575773020437</v>
      </c>
      <c r="F77" s="69">
        <v>48.000628116022291</v>
      </c>
      <c r="G77" s="69">
        <v>52.00068045902416</v>
      </c>
      <c r="H77" s="69">
        <v>65.334188269030349</v>
      </c>
      <c r="I77" s="69">
        <v>80.001046860037164</v>
      </c>
      <c r="J77" s="69">
        <v>149.33528747206938</v>
      </c>
      <c r="K77" s="69">
        <v>238.00311440861054</v>
      </c>
      <c r="L77" s="69">
        <v>96.001256232044597</v>
      </c>
      <c r="M77" s="69">
        <v>98.001282403545517</v>
      </c>
      <c r="N77" s="69">
        <v>96.001256232044582</v>
      </c>
      <c r="O77" s="69">
        <v>158.65662945551099</v>
      </c>
      <c r="P77" s="69">
        <v>211.54217260734799</v>
      </c>
      <c r="Q77" s="69">
        <v>232.6963898680828</v>
      </c>
      <c r="R77" s="69">
        <v>253.85060712881759</v>
      </c>
      <c r="S77" s="69">
        <v>222.1192812377154</v>
      </c>
      <c r="T77" s="69">
        <v>222.1192812377154</v>
      </c>
      <c r="U77" s="69">
        <v>169.2337380858784</v>
      </c>
      <c r="V77" s="69">
        <v>246.79920137523931</v>
      </c>
      <c r="W77" s="69">
        <v>296.15904165028718</v>
      </c>
      <c r="X77" s="69">
        <v>84.6168690429392</v>
      </c>
      <c r="Y77" s="69">
        <v>49.359840275047866</v>
      </c>
      <c r="Z77" s="69">
        <v>21.154217260734796</v>
      </c>
      <c r="AA77" s="77">
        <v>0</v>
      </c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50">
        <v>3204.9875014532977</v>
      </c>
      <c r="BX77" s="60">
        <f>'48hr SPS '!$AZ$53</f>
        <v>15.757379999999998</v>
      </c>
      <c r="BY77" s="57">
        <f t="shared" si="48"/>
        <v>3220.7448814532977</v>
      </c>
      <c r="BZ77">
        <v>25</v>
      </c>
      <c r="CA77" t="s">
        <v>273</v>
      </c>
      <c r="CB77">
        <v>5497.7076441984245</v>
      </c>
      <c r="CC77" t="s">
        <v>980</v>
      </c>
    </row>
    <row r="78" spans="1:81">
      <c r="A78" s="57">
        <f>'24hr SPS'!A78</f>
        <v>25</v>
      </c>
      <c r="B78" s="57">
        <f ca="1">'24hr SPS'!B78</f>
        <v>45.555555555555571</v>
      </c>
      <c r="C78" s="69">
        <v>26.667015620012389</v>
      </c>
      <c r="D78" s="69">
        <v>36.000471087016713</v>
      </c>
      <c r="E78" s="69">
        <v>40.000523430018582</v>
      </c>
      <c r="F78" s="69">
        <v>44.000575773020437</v>
      </c>
      <c r="G78" s="69">
        <v>48.000628116022291</v>
      </c>
      <c r="H78" s="69">
        <v>60.667460535528186</v>
      </c>
      <c r="I78" s="69">
        <v>74.667643736034691</v>
      </c>
      <c r="J78" s="69">
        <v>140.00183200506504</v>
      </c>
      <c r="K78" s="69">
        <v>224.00293120810403</v>
      </c>
      <c r="L78" s="69">
        <v>90.66785310804211</v>
      </c>
      <c r="M78" s="69">
        <v>84.001099203039018</v>
      </c>
      <c r="N78" s="69">
        <v>84.001099203039004</v>
      </c>
      <c r="O78" s="69">
        <v>141.02811507156534</v>
      </c>
      <c r="P78" s="69">
        <v>190.38795534661318</v>
      </c>
      <c r="Q78" s="69">
        <v>211.54217260734799</v>
      </c>
      <c r="R78" s="69">
        <v>232.6963898680828</v>
      </c>
      <c r="S78" s="69">
        <v>253.85060712881759</v>
      </c>
      <c r="T78" s="69">
        <v>259.13916144400127</v>
      </c>
      <c r="U78" s="69">
        <v>253.85060712881759</v>
      </c>
      <c r="V78" s="69">
        <v>296.15904165028718</v>
      </c>
      <c r="W78" s="69">
        <v>370.19880206285899</v>
      </c>
      <c r="X78" s="69">
        <v>112.82249205725226</v>
      </c>
      <c r="Y78" s="69">
        <v>74.039760412571795</v>
      </c>
      <c r="Z78" s="69">
        <v>42.308434521469593</v>
      </c>
      <c r="AA78" s="77">
        <v>28.996945317239724</v>
      </c>
      <c r="AB78" s="41">
        <v>0</v>
      </c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50">
        <v>3419.6996176418684</v>
      </c>
      <c r="BX78" s="60">
        <f>'48hr SPS '!$AZ$53</f>
        <v>15.757379999999998</v>
      </c>
      <c r="BY78" s="57">
        <f t="shared" si="48"/>
        <v>3435.4569976418684</v>
      </c>
      <c r="BZ78">
        <v>26</v>
      </c>
      <c r="CA78" t="s">
        <v>274</v>
      </c>
      <c r="CB78">
        <v>5497.7076441984245</v>
      </c>
      <c r="CC78" t="s">
        <v>980</v>
      </c>
    </row>
    <row r="79" spans="1:81">
      <c r="A79" s="57">
        <f>'24hr SPS'!A79</f>
        <v>26</v>
      </c>
      <c r="B79" s="57">
        <f ca="1">'24hr SPS'!B79</f>
        <v>39.861111111111114</v>
      </c>
      <c r="C79" s="69">
        <v>23.333638667510836</v>
      </c>
      <c r="D79" s="69">
        <v>32.000418744014873</v>
      </c>
      <c r="E79" s="69">
        <v>36.000471087016713</v>
      </c>
      <c r="F79" s="69">
        <v>40.000523430018582</v>
      </c>
      <c r="G79" s="69">
        <v>44.000575773020437</v>
      </c>
      <c r="H79" s="69">
        <v>56.000732802026008</v>
      </c>
      <c r="I79" s="69">
        <v>69.334240612032218</v>
      </c>
      <c r="J79" s="69">
        <v>130.6683765380607</v>
      </c>
      <c r="K79" s="69">
        <v>210.00274800759755</v>
      </c>
      <c r="L79" s="69">
        <v>85.334449984039637</v>
      </c>
      <c r="M79" s="69">
        <v>79.334371469536848</v>
      </c>
      <c r="N79" s="69">
        <v>72.00094217403344</v>
      </c>
      <c r="O79" s="69">
        <v>123.39960068761967</v>
      </c>
      <c r="P79" s="69">
        <v>169.23373808587843</v>
      </c>
      <c r="Q79" s="69">
        <v>190.38795534661318</v>
      </c>
      <c r="R79" s="69">
        <v>211.54217260734799</v>
      </c>
      <c r="S79" s="69">
        <v>232.6963898680828</v>
      </c>
      <c r="T79" s="69">
        <v>296.15904165028718</v>
      </c>
      <c r="U79" s="69">
        <v>296.15904165028718</v>
      </c>
      <c r="V79" s="69">
        <v>444.2385624754308</v>
      </c>
      <c r="W79" s="69">
        <v>444.2385624754308</v>
      </c>
      <c r="X79" s="69">
        <v>141.02811507156531</v>
      </c>
      <c r="Y79" s="69">
        <v>98.719680550095731</v>
      </c>
      <c r="Z79" s="69">
        <v>63.462651782204397</v>
      </c>
      <c r="AA79" s="77">
        <v>57.993890634479449</v>
      </c>
      <c r="AB79" s="41">
        <v>34.796334380687675</v>
      </c>
      <c r="AC79" s="59">
        <v>0</v>
      </c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50">
        <v>3682.0672265549188</v>
      </c>
      <c r="BX79" s="60">
        <f>'48hr SPS '!$AZ$53</f>
        <v>15.757379999999998</v>
      </c>
      <c r="BY79" s="57">
        <f t="shared" si="48"/>
        <v>3697.8246065549188</v>
      </c>
      <c r="BZ79">
        <v>27</v>
      </c>
      <c r="CA79" t="s">
        <v>275</v>
      </c>
      <c r="CB79">
        <v>5497.7076441984245</v>
      </c>
      <c r="CC79" t="s">
        <v>980</v>
      </c>
    </row>
    <row r="80" spans="1:81">
      <c r="A80" s="57">
        <f>'24hr SPS'!A80</f>
        <v>27</v>
      </c>
      <c r="B80" s="57">
        <f ca="1">'24hr SPS'!B80</f>
        <v>34.166666666666686</v>
      </c>
      <c r="C80" s="69">
        <v>20.000261715009298</v>
      </c>
      <c r="D80" s="69">
        <v>28.000366401013004</v>
      </c>
      <c r="E80" s="69">
        <v>32.000418744014873</v>
      </c>
      <c r="F80" s="69">
        <v>36.000471087016713</v>
      </c>
      <c r="G80" s="69">
        <v>40.000523430018582</v>
      </c>
      <c r="H80" s="69">
        <v>51.334005068523844</v>
      </c>
      <c r="I80" s="69">
        <v>64.000837488029731</v>
      </c>
      <c r="J80" s="69">
        <v>121.33492107105637</v>
      </c>
      <c r="K80" s="69">
        <v>196.00256480709106</v>
      </c>
      <c r="L80" s="69">
        <v>80.001046860037164</v>
      </c>
      <c r="M80" s="69">
        <v>74.667643736034691</v>
      </c>
      <c r="N80" s="69">
        <v>68.000889831031586</v>
      </c>
      <c r="O80" s="69">
        <v>105.77108630367401</v>
      </c>
      <c r="P80" s="69">
        <v>148.07952082514362</v>
      </c>
      <c r="Q80" s="69">
        <v>169.23373808587843</v>
      </c>
      <c r="R80" s="69">
        <v>190.38795534661318</v>
      </c>
      <c r="S80" s="69">
        <v>211.54217260734799</v>
      </c>
      <c r="T80" s="69">
        <v>271.4791215127633</v>
      </c>
      <c r="U80" s="69">
        <v>338.4674761717568</v>
      </c>
      <c r="V80" s="69">
        <v>518.27832288800255</v>
      </c>
      <c r="W80" s="69">
        <v>666.35784371314617</v>
      </c>
      <c r="X80" s="69">
        <v>169.2337380858784</v>
      </c>
      <c r="Y80" s="69">
        <v>123.39960068761965</v>
      </c>
      <c r="Z80" s="69">
        <v>84.616869042939186</v>
      </c>
      <c r="AA80" s="77">
        <v>86.990835951719177</v>
      </c>
      <c r="AB80" s="41">
        <v>69.59266876137535</v>
      </c>
      <c r="AC80" s="59">
        <v>34.796334380687675</v>
      </c>
      <c r="AD80" s="87">
        <v>0</v>
      </c>
      <c r="AE80" s="87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50">
        <v>3999.571234603422</v>
      </c>
      <c r="BX80" s="60">
        <f>'48hr SPS '!$AZ$53</f>
        <v>15.757379999999998</v>
      </c>
      <c r="BY80" s="57">
        <f t="shared" si="48"/>
        <v>4015.328614603422</v>
      </c>
      <c r="BZ80">
        <v>28</v>
      </c>
      <c r="CA80" t="s">
        <v>276</v>
      </c>
      <c r="CB80">
        <v>5497.7076441984245</v>
      </c>
      <c r="CC80" t="s">
        <v>980</v>
      </c>
    </row>
    <row r="81" spans="1:81">
      <c r="A81" s="57">
        <f>'24hr SPS'!A81</f>
        <v>28</v>
      </c>
      <c r="B81" s="57">
        <f ca="1">'24hr SPS'!B81</f>
        <v>28.472222222222229</v>
      </c>
      <c r="C81" s="69">
        <v>16.666884762507742</v>
      </c>
      <c r="D81" s="69">
        <v>24.000314058011156</v>
      </c>
      <c r="E81" s="69">
        <v>28.000366401013004</v>
      </c>
      <c r="F81" s="69">
        <v>32.000418744014873</v>
      </c>
      <c r="G81" s="69">
        <v>36.000471087016713</v>
      </c>
      <c r="H81" s="69">
        <v>46.66727733502168</v>
      </c>
      <c r="I81" s="69">
        <v>58.667434364027251</v>
      </c>
      <c r="J81" s="69">
        <v>112.00146560405202</v>
      </c>
      <c r="K81" s="69">
        <v>182.00238160658455</v>
      </c>
      <c r="L81" s="69">
        <v>74.667643736034691</v>
      </c>
      <c r="M81" s="69">
        <v>70.00091600253252</v>
      </c>
      <c r="N81" s="69">
        <v>64.000837488029731</v>
      </c>
      <c r="O81" s="69">
        <v>99.894914842358787</v>
      </c>
      <c r="P81" s="69">
        <v>126.92530356440882</v>
      </c>
      <c r="Q81" s="69">
        <v>148.07952082514362</v>
      </c>
      <c r="R81" s="69">
        <v>169.23373808587843</v>
      </c>
      <c r="S81" s="69">
        <v>190.38795534661318</v>
      </c>
      <c r="T81" s="69">
        <v>246.79920137523933</v>
      </c>
      <c r="U81" s="69">
        <v>310.26185315744374</v>
      </c>
      <c r="V81" s="69">
        <v>592.31808330057436</v>
      </c>
      <c r="W81" s="69">
        <v>777.41748433200394</v>
      </c>
      <c r="X81" s="69">
        <v>253.85060712881759</v>
      </c>
      <c r="Y81" s="69">
        <v>148.07952082514359</v>
      </c>
      <c r="Z81" s="69">
        <v>105.77108630367398</v>
      </c>
      <c r="AA81" s="77">
        <v>115.9877812689589</v>
      </c>
      <c r="AB81" s="41">
        <v>104.38900314206302</v>
      </c>
      <c r="AC81" s="59">
        <v>69.59266876137535</v>
      </c>
      <c r="AD81" s="87">
        <v>34.796334380687675</v>
      </c>
      <c r="AE81" s="87">
        <v>0</v>
      </c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50">
        <v>4238.4614678292301</v>
      </c>
      <c r="BX81" s="60">
        <f>'48hr SPS '!$AZ$53</f>
        <v>15.757379999999998</v>
      </c>
      <c r="BY81" s="57">
        <f t="shared" si="48"/>
        <v>4254.2188478292301</v>
      </c>
      <c r="BZ81">
        <v>29</v>
      </c>
      <c r="CA81" t="s">
        <v>277</v>
      </c>
      <c r="CB81">
        <v>5497.7076441984245</v>
      </c>
      <c r="CC81" t="s">
        <v>980</v>
      </c>
    </row>
    <row r="82" spans="1:81">
      <c r="A82" s="57">
        <f>'24hr SPS'!A82</f>
        <v>29</v>
      </c>
      <c r="B82" s="57">
        <f ca="1">'24hr SPS'!B82</f>
        <v>22.7777777777778</v>
      </c>
      <c r="C82" s="69">
        <v>13.333507810006203</v>
      </c>
      <c r="D82" s="69">
        <v>20.000261715009291</v>
      </c>
      <c r="E82" s="69">
        <v>24.000314058011156</v>
      </c>
      <c r="F82" s="69">
        <v>28.000366401013004</v>
      </c>
      <c r="G82" s="69">
        <v>32.000418744014873</v>
      </c>
      <c r="H82" s="69">
        <v>42.000549601519502</v>
      </c>
      <c r="I82" s="69">
        <v>53.334031240024778</v>
      </c>
      <c r="J82" s="69">
        <v>102.66801013704769</v>
      </c>
      <c r="K82" s="69">
        <v>168.00219840607804</v>
      </c>
      <c r="L82" s="69">
        <v>69.334240612032218</v>
      </c>
      <c r="M82" s="69">
        <v>65.334188269030349</v>
      </c>
      <c r="N82" s="69">
        <v>60.000785145027869</v>
      </c>
      <c r="O82" s="69">
        <v>94.018743381043578</v>
      </c>
      <c r="P82" s="69">
        <v>119.87389781083056</v>
      </c>
      <c r="Q82" s="69">
        <v>126.92530356440882</v>
      </c>
      <c r="R82" s="69">
        <v>148.07952082514362</v>
      </c>
      <c r="S82" s="69">
        <v>169.23373808587843</v>
      </c>
      <c r="T82" s="69">
        <v>222.1192812377154</v>
      </c>
      <c r="U82" s="69">
        <v>282.05623014313068</v>
      </c>
      <c r="V82" s="69">
        <v>542.9582430255266</v>
      </c>
      <c r="W82" s="69">
        <v>888.47712495086159</v>
      </c>
      <c r="X82" s="69">
        <v>296.15904165028718</v>
      </c>
      <c r="Y82" s="69">
        <v>222.1192812377154</v>
      </c>
      <c r="Z82" s="69">
        <v>126.92530356440879</v>
      </c>
      <c r="AA82" s="77">
        <v>144.9847265861986</v>
      </c>
      <c r="AB82" s="41">
        <v>139.1853375227507</v>
      </c>
      <c r="AC82" s="59">
        <v>104.38900314206302</v>
      </c>
      <c r="AD82" s="87">
        <v>69.59266876137535</v>
      </c>
      <c r="AE82" s="87">
        <v>34.796334380687675</v>
      </c>
      <c r="AF82" s="88">
        <v>0</v>
      </c>
      <c r="AG82" s="88"/>
      <c r="AH82" s="88"/>
      <c r="AI82" s="88"/>
      <c r="AJ82" s="88"/>
      <c r="AK82" s="88"/>
      <c r="AL82" s="88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50">
        <v>4409.9026520088419</v>
      </c>
      <c r="BX82" s="60">
        <f>'48hr SPS '!$AZ$53</f>
        <v>15.757379999999998</v>
      </c>
      <c r="BY82" s="57">
        <f t="shared" si="48"/>
        <v>4425.6600320088419</v>
      </c>
      <c r="BZ82">
        <v>30</v>
      </c>
      <c r="CA82" t="s">
        <v>278</v>
      </c>
      <c r="CB82">
        <v>5497.7076441984245</v>
      </c>
      <c r="CC82" t="s">
        <v>980</v>
      </c>
    </row>
    <row r="83" spans="1:81">
      <c r="A83" s="57">
        <f>'24hr SPS'!A83</f>
        <v>30</v>
      </c>
      <c r="B83" s="57">
        <f ca="1">'24hr SPS'!B83</f>
        <v>17.083333333333343</v>
      </c>
      <c r="C83" s="69">
        <v>10.000130857504649</v>
      </c>
      <c r="D83" s="69">
        <v>16.000209372007443</v>
      </c>
      <c r="E83" s="69">
        <v>20.000261715009291</v>
      </c>
      <c r="F83" s="69">
        <v>24.000314058011156</v>
      </c>
      <c r="G83" s="69">
        <v>28.000366401013004</v>
      </c>
      <c r="H83" s="69">
        <v>37.333821868017345</v>
      </c>
      <c r="I83" s="69">
        <v>48.000628116022291</v>
      </c>
      <c r="J83" s="69">
        <v>93.33455467004336</v>
      </c>
      <c r="K83" s="69">
        <v>154.00201520557152</v>
      </c>
      <c r="L83" s="69">
        <v>64.000837488029731</v>
      </c>
      <c r="M83" s="69">
        <v>60.667460535528186</v>
      </c>
      <c r="N83" s="69">
        <v>56.000732802026015</v>
      </c>
      <c r="O83" s="69">
        <v>88.142571919728354</v>
      </c>
      <c r="P83" s="69">
        <v>112.82249205725229</v>
      </c>
      <c r="Q83" s="69">
        <v>119.87389781083056</v>
      </c>
      <c r="R83" s="69">
        <v>126.92530356440882</v>
      </c>
      <c r="S83" s="69">
        <v>148.07952082514362</v>
      </c>
      <c r="T83" s="69">
        <v>197.43936110019149</v>
      </c>
      <c r="U83" s="69">
        <v>253.85060712881759</v>
      </c>
      <c r="V83" s="69">
        <v>493.59840275047867</v>
      </c>
      <c r="W83" s="69">
        <v>814.4373645382899</v>
      </c>
      <c r="X83" s="69">
        <v>338.4674761717568</v>
      </c>
      <c r="Y83" s="69">
        <v>259.13916144400127</v>
      </c>
      <c r="Z83" s="69">
        <v>190.38795534661318</v>
      </c>
      <c r="AA83" s="77">
        <v>173.98167190343835</v>
      </c>
      <c r="AB83" s="41">
        <v>173.98167190343835</v>
      </c>
      <c r="AC83" s="59">
        <v>139.1853375227507</v>
      </c>
      <c r="AD83" s="87">
        <v>104.38900314206302</v>
      </c>
      <c r="AE83" s="87">
        <v>69.59266876137535</v>
      </c>
      <c r="AF83" s="88">
        <v>40.595723444135615</v>
      </c>
      <c r="AG83" s="88">
        <v>0</v>
      </c>
      <c r="AH83" s="88"/>
      <c r="AI83" s="88"/>
      <c r="AJ83" s="88"/>
      <c r="AK83" s="88"/>
      <c r="AL83" s="88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50">
        <v>4456.2315244234987</v>
      </c>
      <c r="BX83" s="60">
        <f>'48hr SPS '!$AZ$53</f>
        <v>15.757379999999998</v>
      </c>
      <c r="BY83" s="57">
        <f t="shared" si="48"/>
        <v>4471.9889044234988</v>
      </c>
      <c r="BZ83">
        <v>31</v>
      </c>
      <c r="CA83" t="s">
        <v>279</v>
      </c>
      <c r="CB83">
        <v>5497.7076441984245</v>
      </c>
      <c r="CC83" t="s">
        <v>980</v>
      </c>
    </row>
    <row r="84" spans="1:81">
      <c r="A84" s="57">
        <f>'24hr SPS'!A84</f>
        <v>31</v>
      </c>
      <c r="B84" s="57">
        <f ca="1">'24hr SPS'!B84</f>
        <v>11.388888888888914</v>
      </c>
      <c r="C84" s="69">
        <v>6.6667539050031097</v>
      </c>
      <c r="D84" s="69">
        <v>12.000157029005578</v>
      </c>
      <c r="E84" s="69">
        <v>16.000209372007443</v>
      </c>
      <c r="F84" s="69">
        <v>20.000261715009291</v>
      </c>
      <c r="G84" s="69">
        <v>24.000314058011156</v>
      </c>
      <c r="H84" s="69">
        <v>32.667094134515168</v>
      </c>
      <c r="I84" s="69">
        <v>42.667224992019825</v>
      </c>
      <c r="J84" s="69">
        <v>84.001099203039004</v>
      </c>
      <c r="K84" s="69">
        <v>140.00183200506504</v>
      </c>
      <c r="L84" s="69">
        <v>58.667434364027251</v>
      </c>
      <c r="M84" s="69">
        <v>56.000732802026008</v>
      </c>
      <c r="N84" s="69">
        <v>52.00068045902416</v>
      </c>
      <c r="O84" s="69">
        <v>82.266400458413131</v>
      </c>
      <c r="P84" s="69">
        <v>105.77108630367402</v>
      </c>
      <c r="Q84" s="69">
        <v>112.82249205725229</v>
      </c>
      <c r="R84" s="69">
        <v>119.87389781083056</v>
      </c>
      <c r="S84" s="69">
        <v>126.92530356440882</v>
      </c>
      <c r="T84" s="69">
        <v>172.75944096266755</v>
      </c>
      <c r="U84" s="69">
        <v>225.64498411450455</v>
      </c>
      <c r="V84" s="69">
        <v>444.2385624754308</v>
      </c>
      <c r="W84" s="69">
        <v>740.39760412571809</v>
      </c>
      <c r="X84" s="69">
        <v>310.26185315744374</v>
      </c>
      <c r="Y84" s="69">
        <v>296.15904165028718</v>
      </c>
      <c r="Z84" s="69">
        <v>222.1192812377154</v>
      </c>
      <c r="AA84" s="77">
        <v>260.97250785515752</v>
      </c>
      <c r="AB84" s="41">
        <v>208.77800628412604</v>
      </c>
      <c r="AC84" s="59">
        <v>173.98167190343835</v>
      </c>
      <c r="AD84" s="87">
        <v>139.1853375227507</v>
      </c>
      <c r="AE84" s="87">
        <v>104.38900314206302</v>
      </c>
      <c r="AF84" s="88">
        <v>81.19144688827123</v>
      </c>
      <c r="AG84" s="88">
        <v>46.395112507583555</v>
      </c>
      <c r="AH84" s="88">
        <v>0</v>
      </c>
      <c r="AI84" s="88"/>
      <c r="AJ84" s="88"/>
      <c r="AK84" s="88"/>
      <c r="AL84" s="88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50">
        <v>4518.8068280604903</v>
      </c>
      <c r="BX84" s="60">
        <f>'48hr SPS '!$AZ$53</f>
        <v>15.757379999999998</v>
      </c>
      <c r="BY84" s="57">
        <f t="shared" si="48"/>
        <v>4534.5642080604903</v>
      </c>
      <c r="BZ84">
        <v>32</v>
      </c>
      <c r="CA84" t="s">
        <v>280</v>
      </c>
      <c r="CB84">
        <v>5497.7076441984245</v>
      </c>
      <c r="CC84" t="s">
        <v>980</v>
      </c>
    </row>
    <row r="85" spans="1:81">
      <c r="A85" s="57">
        <f>'24hr SPS'!A85</f>
        <v>32</v>
      </c>
      <c r="B85" s="57">
        <f ca="1">'24hr SPS'!B85</f>
        <v>5.6944444444444571</v>
      </c>
      <c r="C85" s="69">
        <v>3.3333769525015549</v>
      </c>
      <c r="D85" s="69">
        <v>8.0001046860037324</v>
      </c>
      <c r="E85" s="69">
        <v>12.000157029005578</v>
      </c>
      <c r="F85" s="69">
        <v>16.000209372007443</v>
      </c>
      <c r="G85" s="69">
        <v>20.000261715009291</v>
      </c>
      <c r="H85" s="69">
        <v>28.000366401013018</v>
      </c>
      <c r="I85" s="69">
        <v>37.333821868017338</v>
      </c>
      <c r="J85" s="69">
        <v>74.667643736034691</v>
      </c>
      <c r="K85" s="69">
        <v>126.0016488045585</v>
      </c>
      <c r="L85" s="69">
        <v>53.334031240024778</v>
      </c>
      <c r="M85" s="69">
        <v>51.334005068523844</v>
      </c>
      <c r="N85" s="69">
        <v>48.000628116022291</v>
      </c>
      <c r="O85" s="69">
        <v>76.390228997097907</v>
      </c>
      <c r="P85" s="69">
        <v>98.719680550095759</v>
      </c>
      <c r="Q85" s="69">
        <v>105.77108630367402</v>
      </c>
      <c r="R85" s="69">
        <v>112.82249205725229</v>
      </c>
      <c r="S85" s="69">
        <v>119.87389781083056</v>
      </c>
      <c r="T85" s="69">
        <v>148.07952082514362</v>
      </c>
      <c r="U85" s="69">
        <v>197.43936110019149</v>
      </c>
      <c r="V85" s="69">
        <v>394.87872220038298</v>
      </c>
      <c r="W85" s="69">
        <v>666.35784371314617</v>
      </c>
      <c r="X85" s="69">
        <v>282.05623014313068</v>
      </c>
      <c r="Y85" s="69">
        <v>271.4791215127633</v>
      </c>
      <c r="Z85" s="69">
        <v>253.85060712881759</v>
      </c>
      <c r="AA85" s="77">
        <v>304.46792583101711</v>
      </c>
      <c r="AB85" s="41">
        <v>313.16700942618905</v>
      </c>
      <c r="AC85" s="59">
        <v>208.77800628412604</v>
      </c>
      <c r="AD85" s="87">
        <v>173.98167190343835</v>
      </c>
      <c r="AE85" s="87">
        <v>139.1853375227507</v>
      </c>
      <c r="AF85" s="88">
        <v>121.78717033240686</v>
      </c>
      <c r="AG85" s="88">
        <v>92.79022501516711</v>
      </c>
      <c r="AH85" s="88">
        <v>81.19144688827123</v>
      </c>
      <c r="AI85" s="88">
        <v>0</v>
      </c>
      <c r="AJ85" s="88"/>
      <c r="AK85" s="88"/>
      <c r="AL85" s="88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50">
        <v>4641.0738405346156</v>
      </c>
      <c r="BX85" s="60">
        <f>'48hr SPS '!$AZ$53</f>
        <v>15.757379999999998</v>
      </c>
      <c r="BY85" s="57">
        <f t="shared" si="48"/>
        <v>4656.8312205346156</v>
      </c>
      <c r="BZ85">
        <v>33</v>
      </c>
      <c r="CA85" t="s">
        <v>281</v>
      </c>
      <c r="CB85">
        <v>5497.7076441984245</v>
      </c>
      <c r="CC85" t="s">
        <v>980</v>
      </c>
    </row>
    <row r="86" spans="1:81">
      <c r="A86" s="57">
        <f>'24hr SPS'!A86</f>
        <v>33</v>
      </c>
      <c r="B86" s="57">
        <f>'24hr SPS'!B86</f>
        <v>0</v>
      </c>
      <c r="C86" s="69">
        <v>0</v>
      </c>
      <c r="D86" s="69">
        <v>4.0000523430018662</v>
      </c>
      <c r="E86" s="69">
        <v>8.0001046860037324</v>
      </c>
      <c r="F86" s="69">
        <v>12.000157029005578</v>
      </c>
      <c r="G86" s="69">
        <v>16.000209372007443</v>
      </c>
      <c r="H86" s="69">
        <v>23.33363866751084</v>
      </c>
      <c r="I86" s="69">
        <v>32.00041874401488</v>
      </c>
      <c r="J86" s="69">
        <v>65.334188269030335</v>
      </c>
      <c r="K86" s="69">
        <v>112.00146560405204</v>
      </c>
      <c r="L86" s="69">
        <v>48.000628116022291</v>
      </c>
      <c r="M86" s="69">
        <v>46.66727733502168</v>
      </c>
      <c r="N86" s="69">
        <v>44.000575773020437</v>
      </c>
      <c r="O86" s="69">
        <v>70.514057535782669</v>
      </c>
      <c r="P86" s="69">
        <v>91.668274796517494</v>
      </c>
      <c r="Q86" s="69">
        <v>98.719680550095759</v>
      </c>
      <c r="R86" s="69">
        <v>105.77108630367402</v>
      </c>
      <c r="S86" s="69">
        <v>112.82249205725229</v>
      </c>
      <c r="T86" s="69">
        <v>139.8528807793023</v>
      </c>
      <c r="U86" s="69">
        <v>169.23373808587843</v>
      </c>
      <c r="V86" s="69">
        <v>345.51888192533511</v>
      </c>
      <c r="W86" s="69">
        <v>592.31808330057447</v>
      </c>
      <c r="X86" s="69">
        <v>253.85060712881759</v>
      </c>
      <c r="Y86" s="69">
        <v>246.79920137523933</v>
      </c>
      <c r="Z86" s="69">
        <v>232.6963898680828</v>
      </c>
      <c r="AA86" s="77">
        <v>347.96334380687671</v>
      </c>
      <c r="AB86" s="41">
        <v>365.36151099722059</v>
      </c>
      <c r="AC86" s="59">
        <v>313.16700942618905</v>
      </c>
      <c r="AD86" s="87">
        <v>208.77800628412604</v>
      </c>
      <c r="AE86" s="87">
        <v>173.98167190343835</v>
      </c>
      <c r="AF86" s="88">
        <v>162.38289377654246</v>
      </c>
      <c r="AG86" s="88">
        <v>139.18533752275067</v>
      </c>
      <c r="AH86" s="88">
        <v>162.38289377654246</v>
      </c>
      <c r="AI86" s="88">
        <v>121.78717033240683</v>
      </c>
      <c r="AJ86" s="88">
        <v>0</v>
      </c>
      <c r="AK86" s="88"/>
      <c r="AL86" s="88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50">
        <v>4866.0939274713364</v>
      </c>
      <c r="BX86" s="60">
        <f>'48hr SPS '!$AZ$53</f>
        <v>15.757379999999998</v>
      </c>
      <c r="BY86" s="57">
        <f t="shared" si="48"/>
        <v>4881.8513074713364</v>
      </c>
      <c r="BZ86">
        <v>34</v>
      </c>
      <c r="CA86" t="s">
        <v>282</v>
      </c>
      <c r="CB86">
        <v>5497.7076441984245</v>
      </c>
      <c r="CC86" t="s">
        <v>980</v>
      </c>
    </row>
    <row r="87" spans="1:81">
      <c r="A87" s="57">
        <f>'24hr SPS'!A87</f>
        <v>34</v>
      </c>
      <c r="B87" s="57"/>
      <c r="C87" s="69"/>
      <c r="D87" s="69">
        <v>0</v>
      </c>
      <c r="E87" s="69">
        <v>4.0000523430018662</v>
      </c>
      <c r="F87" s="69">
        <v>8.0001046860037324</v>
      </c>
      <c r="G87" s="69">
        <v>12.000157029005578</v>
      </c>
      <c r="H87" s="69">
        <v>18.666910934008687</v>
      </c>
      <c r="I87" s="69">
        <v>26.667015620012389</v>
      </c>
      <c r="J87" s="69">
        <v>56.000732802026036</v>
      </c>
      <c r="K87" s="69">
        <v>98.001282403545503</v>
      </c>
      <c r="L87" s="69">
        <v>42.667224992019825</v>
      </c>
      <c r="M87" s="69">
        <v>42.000549601519502</v>
      </c>
      <c r="N87" s="69">
        <v>40.000523430018582</v>
      </c>
      <c r="O87" s="69">
        <v>64.63788607446746</v>
      </c>
      <c r="P87" s="69">
        <v>84.616869042939214</v>
      </c>
      <c r="Q87" s="69">
        <v>91.668274796517494</v>
      </c>
      <c r="R87" s="69">
        <v>98.719680550095759</v>
      </c>
      <c r="S87" s="69">
        <v>105.77108630367402</v>
      </c>
      <c r="T87" s="69">
        <v>131.626240733461</v>
      </c>
      <c r="U87" s="69">
        <v>159.83186374777407</v>
      </c>
      <c r="V87" s="69">
        <v>296.15904165028724</v>
      </c>
      <c r="W87" s="69">
        <v>518.27832288800266</v>
      </c>
      <c r="X87" s="69">
        <v>225.64498411450455</v>
      </c>
      <c r="Y87" s="69">
        <v>222.1192812377154</v>
      </c>
      <c r="Z87" s="69">
        <v>211.54217260734799</v>
      </c>
      <c r="AA87" s="77">
        <v>318.96639848963702</v>
      </c>
      <c r="AB87" s="41">
        <v>417.55601256825207</v>
      </c>
      <c r="AC87" s="59">
        <v>365.36151099722059</v>
      </c>
      <c r="AD87" s="87">
        <v>313.16700942618905</v>
      </c>
      <c r="AE87" s="87">
        <v>208.77800628412604</v>
      </c>
      <c r="AF87" s="88">
        <v>202.97861722067807</v>
      </c>
      <c r="AG87" s="88">
        <v>185.58045003033422</v>
      </c>
      <c r="AH87" s="88">
        <v>243.57434066481372</v>
      </c>
      <c r="AI87" s="88">
        <v>243.57434066481366</v>
      </c>
      <c r="AJ87" s="88">
        <v>46.395112507583555</v>
      </c>
      <c r="AK87" s="88">
        <v>0</v>
      </c>
      <c r="AL87" s="88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50">
        <v>5104.5520564415956</v>
      </c>
      <c r="BX87" s="60">
        <f>'48hr SPS '!$AZ$53</f>
        <v>15.757379999999998</v>
      </c>
      <c r="BY87" s="57">
        <f t="shared" si="48"/>
        <v>5120.3094364415956</v>
      </c>
      <c r="BZ87">
        <v>35</v>
      </c>
      <c r="CA87" t="s">
        <v>283</v>
      </c>
      <c r="CB87">
        <v>5497.7076441984245</v>
      </c>
      <c r="CC87" t="s">
        <v>980</v>
      </c>
    </row>
    <row r="88" spans="1:81">
      <c r="A88" s="57">
        <f>'24hr SPS'!A88</f>
        <v>35</v>
      </c>
      <c r="B88" s="57"/>
      <c r="C88" s="69"/>
      <c r="D88" s="69"/>
      <c r="E88" s="69">
        <v>0</v>
      </c>
      <c r="F88" s="69">
        <v>4.0000523430018662</v>
      </c>
      <c r="G88" s="69">
        <v>8.0001046860037324</v>
      </c>
      <c r="H88" s="69">
        <v>14.000183200506509</v>
      </c>
      <c r="I88" s="69">
        <v>21.333612496009927</v>
      </c>
      <c r="J88" s="69">
        <v>46.66727733502168</v>
      </c>
      <c r="K88" s="69">
        <v>84.001099203039047</v>
      </c>
      <c r="L88" s="69">
        <v>37.333821868017338</v>
      </c>
      <c r="M88" s="69">
        <v>37.333821868017345</v>
      </c>
      <c r="N88" s="69">
        <v>36.000471087016713</v>
      </c>
      <c r="O88" s="69">
        <v>58.761714613152236</v>
      </c>
      <c r="P88" s="69">
        <v>77.565463289360949</v>
      </c>
      <c r="Q88" s="69">
        <v>84.616869042939214</v>
      </c>
      <c r="R88" s="69">
        <v>91.668274796517494</v>
      </c>
      <c r="S88" s="69">
        <v>98.719680550095759</v>
      </c>
      <c r="T88" s="69">
        <v>123.3996006876197</v>
      </c>
      <c r="U88" s="69">
        <v>150.4299894096697</v>
      </c>
      <c r="V88" s="69">
        <v>279.70576155860459</v>
      </c>
      <c r="W88" s="69">
        <v>444.23856247543085</v>
      </c>
      <c r="X88" s="69">
        <v>197.43936110019149</v>
      </c>
      <c r="Y88" s="69">
        <v>197.43936110019149</v>
      </c>
      <c r="Z88" s="69">
        <v>190.38795534661318</v>
      </c>
      <c r="AA88" s="77">
        <v>289.96945317239727</v>
      </c>
      <c r="AB88" s="41">
        <v>382.75967818756448</v>
      </c>
      <c r="AC88" s="59">
        <v>417.55601256825207</v>
      </c>
      <c r="AD88" s="87">
        <v>365.36151099722059</v>
      </c>
      <c r="AE88" s="87">
        <v>313.16700942618905</v>
      </c>
      <c r="AF88" s="88">
        <v>243.57434066481372</v>
      </c>
      <c r="AG88" s="88">
        <v>231.97556253791777</v>
      </c>
      <c r="AH88" s="88">
        <v>324.76578755308492</v>
      </c>
      <c r="AI88" s="88">
        <v>365.36151099722053</v>
      </c>
      <c r="AJ88" s="88">
        <v>92.79022501516711</v>
      </c>
      <c r="AK88" s="88">
        <v>40.595723444135615</v>
      </c>
      <c r="AL88" s="88">
        <v>0</v>
      </c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50">
        <v>5350.9198526209839</v>
      </c>
      <c r="BX88" s="60">
        <f>'48hr SPS '!$AZ$53</f>
        <v>15.757379999999998</v>
      </c>
      <c r="BY88" s="57">
        <f t="shared" si="48"/>
        <v>5366.6772326209839</v>
      </c>
      <c r="BZ88">
        <v>36</v>
      </c>
      <c r="CA88" t="s">
        <v>284</v>
      </c>
      <c r="CB88">
        <v>5497.7076441984245</v>
      </c>
      <c r="CC88" t="s">
        <v>980</v>
      </c>
    </row>
    <row r="89" spans="1:81">
      <c r="A89" s="57">
        <f>'24hr SPS'!A89</f>
        <v>36</v>
      </c>
      <c r="B89" s="57"/>
      <c r="C89" s="69"/>
      <c r="D89" s="69"/>
      <c r="E89" s="69"/>
      <c r="F89" s="69">
        <v>0</v>
      </c>
      <c r="G89" s="69">
        <v>4.0000523430018662</v>
      </c>
      <c r="H89" s="69">
        <v>9.3334554670043541</v>
      </c>
      <c r="I89" s="69">
        <v>16.00020937200744</v>
      </c>
      <c r="J89" s="69">
        <v>37.333821868017374</v>
      </c>
      <c r="K89" s="69">
        <v>70.00091600253252</v>
      </c>
      <c r="L89" s="69">
        <v>32.00041874401488</v>
      </c>
      <c r="M89" s="69">
        <v>32.667094134515168</v>
      </c>
      <c r="N89" s="69">
        <v>32.000418744014873</v>
      </c>
      <c r="O89" s="69">
        <v>52.885543151836998</v>
      </c>
      <c r="P89" s="69">
        <v>70.514057535782683</v>
      </c>
      <c r="Q89" s="69">
        <v>77.565463289360949</v>
      </c>
      <c r="R89" s="69">
        <v>84.616869042939214</v>
      </c>
      <c r="S89" s="69">
        <v>91.668274796517494</v>
      </c>
      <c r="T89" s="69">
        <v>115.17296064177839</v>
      </c>
      <c r="U89" s="69">
        <v>141.02811507156537</v>
      </c>
      <c r="V89" s="69">
        <v>263.25248146692201</v>
      </c>
      <c r="W89" s="69">
        <v>419.55864233790697</v>
      </c>
      <c r="X89" s="69">
        <v>169.23373808587843</v>
      </c>
      <c r="Y89" s="69">
        <v>172.75944096266755</v>
      </c>
      <c r="Z89" s="69">
        <v>169.23373808587843</v>
      </c>
      <c r="AA89" s="77">
        <v>260.97250785515752</v>
      </c>
      <c r="AB89" s="41">
        <v>347.96334380687676</v>
      </c>
      <c r="AC89" s="59">
        <v>382.75967818756448</v>
      </c>
      <c r="AD89" s="87">
        <v>417.55601256825207</v>
      </c>
      <c r="AE89" s="87">
        <v>365.36151099722059</v>
      </c>
      <c r="AF89" s="88">
        <v>365.36151099722059</v>
      </c>
      <c r="AG89" s="88">
        <v>278.37067504550134</v>
      </c>
      <c r="AH89" s="88">
        <v>405.95723444135615</v>
      </c>
      <c r="AI89" s="88">
        <v>487.14868132962732</v>
      </c>
      <c r="AJ89" s="88">
        <v>139.18533752275067</v>
      </c>
      <c r="AK89" s="88">
        <v>81.19144688827123</v>
      </c>
      <c r="AL89" s="88">
        <v>34.796334380687675</v>
      </c>
      <c r="AM89" s="41">
        <v>0</v>
      </c>
      <c r="AN89" s="41"/>
      <c r="AO89" s="41"/>
      <c r="AP89" s="41"/>
      <c r="AQ89" s="41"/>
      <c r="AR89" s="41"/>
      <c r="AS89" s="41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50">
        <v>5627.4499851646297</v>
      </c>
      <c r="BX89" s="60">
        <f>'48hr SPS '!$AZ$53</f>
        <v>15.757379999999998</v>
      </c>
      <c r="BY89" s="57">
        <f t="shared" si="48"/>
        <v>5643.2073651646297</v>
      </c>
      <c r="BZ89">
        <v>37</v>
      </c>
      <c r="CA89" t="s">
        <v>285</v>
      </c>
      <c r="CB89">
        <v>5497.7076441984245</v>
      </c>
      <c r="CC89" t="s">
        <v>980</v>
      </c>
    </row>
    <row r="90" spans="1:81">
      <c r="A90" s="57">
        <f>'24hr SPS'!A90</f>
        <v>37</v>
      </c>
      <c r="B90" s="57"/>
      <c r="C90" s="69"/>
      <c r="D90" s="69"/>
      <c r="E90" s="69"/>
      <c r="F90" s="69"/>
      <c r="G90" s="69">
        <v>0</v>
      </c>
      <c r="H90" s="69">
        <v>4.6667277335021771</v>
      </c>
      <c r="I90" s="69">
        <v>10.666806248004976</v>
      </c>
      <c r="J90" s="69">
        <v>28.000366401013018</v>
      </c>
      <c r="K90" s="69">
        <v>56.000732802026057</v>
      </c>
      <c r="L90" s="69">
        <v>26.667015620012389</v>
      </c>
      <c r="M90" s="69">
        <v>28.000366401013018</v>
      </c>
      <c r="N90" s="69">
        <v>28.000366401013004</v>
      </c>
      <c r="O90" s="69">
        <v>47.009371690521796</v>
      </c>
      <c r="P90" s="69">
        <v>63.462651782204397</v>
      </c>
      <c r="Q90" s="69">
        <v>70.514057535782683</v>
      </c>
      <c r="R90" s="69">
        <v>77.565463289360949</v>
      </c>
      <c r="S90" s="69">
        <v>84.616869042939214</v>
      </c>
      <c r="T90" s="69">
        <v>106.94632059593707</v>
      </c>
      <c r="U90" s="69">
        <v>131.626240733461</v>
      </c>
      <c r="V90" s="69">
        <v>246.79920137523939</v>
      </c>
      <c r="W90" s="69">
        <v>394.87872220038304</v>
      </c>
      <c r="X90" s="69">
        <v>159.83186374777407</v>
      </c>
      <c r="Y90" s="69">
        <v>148.07952082514362</v>
      </c>
      <c r="Z90" s="69">
        <v>148.07952082514362</v>
      </c>
      <c r="AA90" s="77">
        <v>231.97556253791782</v>
      </c>
      <c r="AB90" s="41">
        <v>313.16700942618905</v>
      </c>
      <c r="AC90" s="59">
        <v>347.96334380687676</v>
      </c>
      <c r="AD90" s="87">
        <v>382.75967818756448</v>
      </c>
      <c r="AE90" s="87">
        <v>417.55601256825207</v>
      </c>
      <c r="AF90" s="88">
        <v>426.25509616342401</v>
      </c>
      <c r="AG90" s="88">
        <v>417.55601256825202</v>
      </c>
      <c r="AH90" s="88">
        <v>487.14868132962744</v>
      </c>
      <c r="AI90" s="88">
        <v>608.93585166203411</v>
      </c>
      <c r="AJ90" s="88">
        <v>185.58045003033422</v>
      </c>
      <c r="AK90" s="88">
        <v>121.78717033240686</v>
      </c>
      <c r="AL90" s="88">
        <v>69.59266876137535</v>
      </c>
      <c r="AM90" s="41">
        <v>10.724897583088666</v>
      </c>
      <c r="AN90" s="41">
        <v>0</v>
      </c>
      <c r="AO90" s="41"/>
      <c r="AP90" s="41"/>
      <c r="AQ90" s="41"/>
      <c r="AR90" s="41"/>
      <c r="AS90" s="41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50">
        <v>5882.41462020782</v>
      </c>
      <c r="BX90" s="60">
        <f>'48hr SPS '!$AZ$53</f>
        <v>15.757379999999998</v>
      </c>
      <c r="BY90" s="57">
        <f t="shared" si="48"/>
        <v>5898.17200020782</v>
      </c>
      <c r="BZ90">
        <v>38</v>
      </c>
      <c r="CA90" t="s">
        <v>286</v>
      </c>
      <c r="CB90">
        <v>5497.7076441984245</v>
      </c>
      <c r="CC90" t="s">
        <v>980</v>
      </c>
    </row>
    <row r="91" spans="1:81">
      <c r="A91" s="57">
        <f>'24hr SPS'!A91</f>
        <v>38</v>
      </c>
      <c r="B91" s="57"/>
      <c r="C91" s="69"/>
      <c r="D91" s="69"/>
      <c r="E91" s="69"/>
      <c r="F91" s="69"/>
      <c r="G91" s="69"/>
      <c r="H91" s="69">
        <v>0</v>
      </c>
      <c r="I91" s="69">
        <v>5.3334031240024879</v>
      </c>
      <c r="J91" s="69">
        <v>18.666910934008708</v>
      </c>
      <c r="K91" s="69">
        <v>42.000549601519523</v>
      </c>
      <c r="L91" s="69">
        <v>21.333612496009927</v>
      </c>
      <c r="M91" s="69">
        <v>23.33363866751084</v>
      </c>
      <c r="N91" s="69">
        <v>24.000314058011156</v>
      </c>
      <c r="O91" s="69">
        <v>41.133200229206558</v>
      </c>
      <c r="P91" s="69">
        <v>56.411246028626152</v>
      </c>
      <c r="Q91" s="69">
        <v>63.462651782204397</v>
      </c>
      <c r="R91" s="69">
        <v>70.514057535782683</v>
      </c>
      <c r="S91" s="69">
        <v>77.565463289360949</v>
      </c>
      <c r="T91" s="69">
        <v>98.719680550095745</v>
      </c>
      <c r="U91" s="69">
        <v>122.22436639535665</v>
      </c>
      <c r="V91" s="69">
        <v>230.34592128355678</v>
      </c>
      <c r="W91" s="69">
        <v>370.1988020628591</v>
      </c>
      <c r="X91" s="69">
        <v>150.4299894096697</v>
      </c>
      <c r="Y91" s="69">
        <v>139.8528807793023</v>
      </c>
      <c r="Z91" s="69">
        <v>126.92530356440882</v>
      </c>
      <c r="AA91" s="77">
        <v>202.9786172206781</v>
      </c>
      <c r="AB91" s="41">
        <v>278.37067504550146</v>
      </c>
      <c r="AC91" s="59">
        <v>313.16700942618905</v>
      </c>
      <c r="AD91" s="87">
        <v>347.96334380687676</v>
      </c>
      <c r="AE91" s="87">
        <v>382.75967818756448</v>
      </c>
      <c r="AF91" s="88">
        <v>487.14868132962744</v>
      </c>
      <c r="AG91" s="88">
        <v>487.14868132962738</v>
      </c>
      <c r="AH91" s="88">
        <v>730.72302199444118</v>
      </c>
      <c r="AI91" s="88">
        <v>730.72302199444107</v>
      </c>
      <c r="AJ91" s="88">
        <v>231.97556253791777</v>
      </c>
      <c r="AK91" s="88">
        <v>162.38289377654246</v>
      </c>
      <c r="AL91" s="88">
        <v>104.38900314206302</v>
      </c>
      <c r="AM91" s="41">
        <v>21.449795166177331</v>
      </c>
      <c r="AN91" s="41">
        <v>12.8698770997064</v>
      </c>
      <c r="AO91" s="41">
        <v>0</v>
      </c>
      <c r="AP91" s="41"/>
      <c r="AQ91" s="41"/>
      <c r="AR91" s="41"/>
      <c r="AS91" s="41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50">
        <v>6176.5018538488457</v>
      </c>
      <c r="BX91" s="60">
        <f>'48hr SPS '!$AZ$53</f>
        <v>15.757379999999998</v>
      </c>
      <c r="BY91" s="57">
        <f t="shared" si="48"/>
        <v>6192.2592338488457</v>
      </c>
      <c r="BZ91">
        <v>39</v>
      </c>
      <c r="CA91" t="s">
        <v>287</v>
      </c>
      <c r="CB91">
        <v>5497.7076441984245</v>
      </c>
      <c r="CC91" t="s">
        <v>980</v>
      </c>
    </row>
    <row r="92" spans="1:81">
      <c r="A92" s="57">
        <f>'24hr SPS'!A92</f>
        <v>39</v>
      </c>
      <c r="B92" s="57"/>
      <c r="C92" s="69"/>
      <c r="D92" s="69"/>
      <c r="E92" s="69"/>
      <c r="F92" s="69"/>
      <c r="G92" s="69"/>
      <c r="H92" s="69"/>
      <c r="I92" s="69">
        <v>0</v>
      </c>
      <c r="J92" s="69">
        <v>9.3334554670043541</v>
      </c>
      <c r="K92" s="69">
        <v>28.000366401013061</v>
      </c>
      <c r="L92" s="69">
        <v>16.00020937200744</v>
      </c>
      <c r="M92" s="69">
        <v>18.666910934008687</v>
      </c>
      <c r="N92" s="69">
        <v>20.000261715009291</v>
      </c>
      <c r="O92" s="69">
        <v>35.257028767891349</v>
      </c>
      <c r="P92" s="69">
        <v>49.359840275047873</v>
      </c>
      <c r="Q92" s="69">
        <v>56.411246028626152</v>
      </c>
      <c r="R92" s="69">
        <v>63.462651782204397</v>
      </c>
      <c r="S92" s="69">
        <v>70.514057535782683</v>
      </c>
      <c r="T92" s="69">
        <v>90.493040504254438</v>
      </c>
      <c r="U92" s="69">
        <v>112.82249205725228</v>
      </c>
      <c r="V92" s="69">
        <v>213.89264119187413</v>
      </c>
      <c r="W92" s="69">
        <v>345.51888192533517</v>
      </c>
      <c r="X92" s="69">
        <v>141.02811507156537</v>
      </c>
      <c r="Y92" s="69">
        <v>131.626240733461</v>
      </c>
      <c r="Z92" s="69">
        <v>119.87389781083056</v>
      </c>
      <c r="AA92" s="77">
        <v>173.98167190343838</v>
      </c>
      <c r="AB92" s="41">
        <v>243.57434066481375</v>
      </c>
      <c r="AC92" s="59">
        <v>278.37067504550146</v>
      </c>
      <c r="AD92" s="87">
        <v>313.16700942618905</v>
      </c>
      <c r="AE92" s="87">
        <v>347.96334380687676</v>
      </c>
      <c r="AF92" s="88">
        <v>446.55295788549188</v>
      </c>
      <c r="AG92" s="88">
        <v>556.74135009100269</v>
      </c>
      <c r="AH92" s="88">
        <v>852.51019232684803</v>
      </c>
      <c r="AI92" s="88">
        <v>1096.0845329916617</v>
      </c>
      <c r="AJ92" s="88">
        <v>278.37067504550134</v>
      </c>
      <c r="AK92" s="88">
        <v>202.97861722067807</v>
      </c>
      <c r="AL92" s="88">
        <v>139.1853375227507</v>
      </c>
      <c r="AM92" s="41">
        <v>32.174692749266001</v>
      </c>
      <c r="AN92" s="41">
        <v>25.739754199412801</v>
      </c>
      <c r="AO92" s="41">
        <v>12.8698770997064</v>
      </c>
      <c r="AP92" s="41">
        <v>0</v>
      </c>
      <c r="AQ92" s="41"/>
      <c r="AR92" s="41"/>
      <c r="AS92" s="41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50">
        <v>6522.5263655523077</v>
      </c>
      <c r="BX92" s="60">
        <f>'48hr SPS '!$AZ$53</f>
        <v>15.757379999999998</v>
      </c>
      <c r="BY92" s="57">
        <f t="shared" si="48"/>
        <v>6538.2837455523077</v>
      </c>
      <c r="BZ92">
        <v>40</v>
      </c>
      <c r="CA92" t="s">
        <v>288</v>
      </c>
      <c r="CB92">
        <v>5497.7076441984245</v>
      </c>
      <c r="CC92" t="s">
        <v>980</v>
      </c>
    </row>
    <row r="93" spans="1:81">
      <c r="A93" s="57">
        <f>'24hr SPS'!A93</f>
        <v>40</v>
      </c>
      <c r="B93" s="57"/>
      <c r="C93" s="69"/>
      <c r="D93" s="69"/>
      <c r="E93" s="69"/>
      <c r="F93" s="69"/>
      <c r="G93" s="69"/>
      <c r="H93" s="69"/>
      <c r="I93" s="69"/>
      <c r="J93" s="69">
        <v>0</v>
      </c>
      <c r="K93" s="69">
        <v>14.00018320050653</v>
      </c>
      <c r="L93" s="69">
        <v>10.666806248004976</v>
      </c>
      <c r="M93" s="69">
        <v>14.000183200506509</v>
      </c>
      <c r="N93" s="69">
        <v>16.000209372007443</v>
      </c>
      <c r="O93" s="69">
        <v>29.380857306576118</v>
      </c>
      <c r="P93" s="69">
        <v>42.308434521469621</v>
      </c>
      <c r="Q93" s="69">
        <v>49.359840275047873</v>
      </c>
      <c r="R93" s="69">
        <v>56.411246028626152</v>
      </c>
      <c r="S93" s="69">
        <v>63.462651782204397</v>
      </c>
      <c r="T93" s="69">
        <v>82.266400458413131</v>
      </c>
      <c r="U93" s="69">
        <v>103.42061771914793</v>
      </c>
      <c r="V93" s="69">
        <v>197.43936110019149</v>
      </c>
      <c r="W93" s="69">
        <v>320.83896178781123</v>
      </c>
      <c r="X93" s="69">
        <v>131.626240733461</v>
      </c>
      <c r="Y93" s="69">
        <v>123.3996006876197</v>
      </c>
      <c r="Z93" s="69">
        <v>112.82249205725229</v>
      </c>
      <c r="AA93" s="77">
        <v>164.31602346435847</v>
      </c>
      <c r="AB93" s="41">
        <v>208.77800628412606</v>
      </c>
      <c r="AC93" s="59">
        <v>243.57434066481375</v>
      </c>
      <c r="AD93" s="87">
        <v>278.37067504550146</v>
      </c>
      <c r="AE93" s="87">
        <v>313.16700942618905</v>
      </c>
      <c r="AF93" s="88">
        <v>405.95723444135621</v>
      </c>
      <c r="AG93" s="88">
        <v>510.34623758341917</v>
      </c>
      <c r="AH93" s="88">
        <v>974.29736265925487</v>
      </c>
      <c r="AI93" s="88">
        <v>1278.7652884902718</v>
      </c>
      <c r="AJ93" s="88">
        <v>417.55601256825202</v>
      </c>
      <c r="AK93" s="88">
        <v>243.57434066481372</v>
      </c>
      <c r="AL93" s="88">
        <v>173.98167190343835</v>
      </c>
      <c r="AM93" s="41">
        <v>42.899590332354663</v>
      </c>
      <c r="AN93" s="41">
        <v>38.609631299119201</v>
      </c>
      <c r="AO93" s="41">
        <v>25.739754199412801</v>
      </c>
      <c r="AP93" s="41">
        <v>12.8698770997064</v>
      </c>
      <c r="AQ93" s="41">
        <v>0</v>
      </c>
      <c r="AR93" s="41"/>
      <c r="AS93" s="41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50">
        <v>6700.2071426052344</v>
      </c>
      <c r="BX93" s="60">
        <f>'48hr SPS '!$AZ$53</f>
        <v>15.757379999999998</v>
      </c>
      <c r="BY93" s="57">
        <f t="shared" si="48"/>
        <v>6715.9645226052344</v>
      </c>
      <c r="BZ93">
        <v>41</v>
      </c>
      <c r="CA93" t="s">
        <v>289</v>
      </c>
      <c r="CB93">
        <v>5497.7076441984245</v>
      </c>
      <c r="CC93" t="s">
        <v>980</v>
      </c>
    </row>
    <row r="94" spans="1:81">
      <c r="A94" s="57">
        <f>'24hr SPS'!A94</f>
        <v>41</v>
      </c>
      <c r="B94" s="57"/>
      <c r="C94" s="69"/>
      <c r="D94" s="69"/>
      <c r="E94" s="69"/>
      <c r="F94" s="69"/>
      <c r="G94" s="69"/>
      <c r="H94" s="69"/>
      <c r="I94" s="69"/>
      <c r="J94" s="69"/>
      <c r="K94" s="69">
        <v>0</v>
      </c>
      <c r="L94" s="69">
        <v>5.3334031240024879</v>
      </c>
      <c r="M94" s="69">
        <v>9.3334554670043541</v>
      </c>
      <c r="N94" s="69">
        <v>12.000157029005578</v>
      </c>
      <c r="O94" s="69">
        <v>23.504685845260912</v>
      </c>
      <c r="P94" s="69">
        <v>35.257028767891342</v>
      </c>
      <c r="Q94" s="69">
        <v>42.308434521469621</v>
      </c>
      <c r="R94" s="69">
        <v>49.359840275047873</v>
      </c>
      <c r="S94" s="69">
        <v>56.411246028626152</v>
      </c>
      <c r="T94" s="69">
        <v>74.039760412571795</v>
      </c>
      <c r="U94" s="69">
        <v>94.018743381043578</v>
      </c>
      <c r="V94" s="69">
        <v>180.98608100850888</v>
      </c>
      <c r="W94" s="69">
        <v>296.15904165028724</v>
      </c>
      <c r="X94" s="69">
        <v>122.22436639535665</v>
      </c>
      <c r="Y94" s="69">
        <v>115.17296064177839</v>
      </c>
      <c r="Z94" s="69">
        <v>105.77108630367402</v>
      </c>
      <c r="AA94" s="77">
        <v>154.65037502527855</v>
      </c>
      <c r="AB94" s="41">
        <v>197.1792281572302</v>
      </c>
      <c r="AC94" s="59">
        <v>208.77800628412606</v>
      </c>
      <c r="AD94" s="87">
        <v>243.57434066481375</v>
      </c>
      <c r="AE94" s="87">
        <v>278.37067504550146</v>
      </c>
      <c r="AF94" s="88">
        <v>365.36151099722059</v>
      </c>
      <c r="AG94" s="88">
        <v>463.95112507583559</v>
      </c>
      <c r="AH94" s="88">
        <v>893.10591577098376</v>
      </c>
      <c r="AI94" s="88">
        <v>1461.4460439888821</v>
      </c>
      <c r="AJ94" s="88">
        <v>487.14868132962738</v>
      </c>
      <c r="AK94" s="88">
        <v>365.36151099722059</v>
      </c>
      <c r="AL94" s="88">
        <v>208.77800628412604</v>
      </c>
      <c r="AM94" s="41">
        <v>53.624487915443325</v>
      </c>
      <c r="AN94" s="41">
        <v>51.479508398825601</v>
      </c>
      <c r="AO94" s="41">
        <v>38.609631299119201</v>
      </c>
      <c r="AP94" s="41">
        <v>25.739754199412801</v>
      </c>
      <c r="AQ94" s="41">
        <v>12.8698770997064</v>
      </c>
      <c r="AR94" s="41">
        <v>0</v>
      </c>
      <c r="AS94" s="41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91">
        <v>6731.9089693848828</v>
      </c>
      <c r="BX94" s="60">
        <f>'48hr SPS '!$AZ$53</f>
        <v>15.757379999999998</v>
      </c>
      <c r="BY94" s="57">
        <f t="shared" si="48"/>
        <v>6747.6663493848828</v>
      </c>
      <c r="BZ94">
        <v>42</v>
      </c>
      <c r="CA94" t="s">
        <v>290</v>
      </c>
      <c r="CB94">
        <v>5497.7076441984245</v>
      </c>
      <c r="CC94" t="s">
        <v>980</v>
      </c>
    </row>
    <row r="95" spans="1:81">
      <c r="A95" s="57">
        <f>'24hr SPS'!A95</f>
        <v>42</v>
      </c>
      <c r="B95" s="57"/>
      <c r="C95" s="69"/>
      <c r="D95" s="69"/>
      <c r="E95" s="69"/>
      <c r="F95" s="69"/>
      <c r="G95" s="69"/>
      <c r="H95" s="69"/>
      <c r="I95" s="69"/>
      <c r="J95" s="69"/>
      <c r="K95" s="69"/>
      <c r="L95" s="69">
        <v>0</v>
      </c>
      <c r="M95" s="69">
        <v>4.6667277335021771</v>
      </c>
      <c r="N95" s="69">
        <v>8.0001046860037324</v>
      </c>
      <c r="O95" s="69">
        <v>17.628514383945674</v>
      </c>
      <c r="P95" s="69">
        <v>28.205623014313094</v>
      </c>
      <c r="Q95" s="69">
        <v>35.257028767891342</v>
      </c>
      <c r="R95" s="69">
        <v>42.308434521469621</v>
      </c>
      <c r="S95" s="69">
        <v>49.359840275047873</v>
      </c>
      <c r="T95" s="69">
        <v>65.813120366730516</v>
      </c>
      <c r="U95" s="69">
        <v>84.6168690429392</v>
      </c>
      <c r="V95" s="69">
        <v>164.53280091682626</v>
      </c>
      <c r="W95" s="69">
        <v>271.4791215127633</v>
      </c>
      <c r="X95" s="69">
        <v>112.82249205725228</v>
      </c>
      <c r="Y95" s="69">
        <v>106.94632059593707</v>
      </c>
      <c r="Z95" s="69">
        <v>98.719680550095759</v>
      </c>
      <c r="AA95" s="77">
        <v>144.98472658619866</v>
      </c>
      <c r="AB95" s="41">
        <v>185.5804500303343</v>
      </c>
      <c r="AC95" s="59">
        <v>197.1792281572302</v>
      </c>
      <c r="AD95" s="87">
        <v>208.77800628412606</v>
      </c>
      <c r="AE95" s="87">
        <v>243.57434066481375</v>
      </c>
      <c r="AF95" s="88">
        <v>324.76578755308503</v>
      </c>
      <c r="AG95" s="88">
        <v>417.55601256825202</v>
      </c>
      <c r="AH95" s="88">
        <v>811.91446888271241</v>
      </c>
      <c r="AI95" s="88">
        <v>1339.6588736564754</v>
      </c>
      <c r="AJ95" s="88">
        <v>556.74135009100269</v>
      </c>
      <c r="AK95" s="88">
        <v>426.25509616342401</v>
      </c>
      <c r="AL95" s="88">
        <v>313.16700942618905</v>
      </c>
      <c r="AM95" s="41">
        <v>64.349385498532001</v>
      </c>
      <c r="AN95" s="41">
        <v>64.349385498532001</v>
      </c>
      <c r="AO95" s="41">
        <v>51.479508398825601</v>
      </c>
      <c r="AP95" s="41">
        <v>38.609631299119201</v>
      </c>
      <c r="AQ95" s="41">
        <v>25.739754199412801</v>
      </c>
      <c r="AR95" s="41">
        <v>15.014856616324133</v>
      </c>
      <c r="AS95" s="41">
        <v>0</v>
      </c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50">
        <v>6520.0545499993059</v>
      </c>
      <c r="BX95" s="60">
        <f>'48hr SPS '!$AZ$53</f>
        <v>15.757379999999998</v>
      </c>
      <c r="BY95" s="57">
        <f t="shared" si="48"/>
        <v>6535.8119299993059</v>
      </c>
      <c r="BZ95">
        <v>43</v>
      </c>
      <c r="CA95" t="s">
        <v>291</v>
      </c>
      <c r="CB95">
        <v>5497.7076441984245</v>
      </c>
      <c r="CC95" t="s">
        <v>980</v>
      </c>
    </row>
    <row r="96" spans="1:81">
      <c r="A96" s="57">
        <f>'24hr SPS'!A96</f>
        <v>43</v>
      </c>
      <c r="B96" s="57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>
        <v>0</v>
      </c>
      <c r="N96" s="69">
        <v>4.0000523430018662</v>
      </c>
      <c r="O96" s="69">
        <v>11.75234292263047</v>
      </c>
      <c r="P96" s="69">
        <v>21.154217260734811</v>
      </c>
      <c r="Q96" s="69">
        <v>28.205623014313094</v>
      </c>
      <c r="R96" s="69">
        <v>35.257028767891342</v>
      </c>
      <c r="S96" s="69">
        <v>42.308434521469621</v>
      </c>
      <c r="T96" s="69">
        <v>57.58648032088918</v>
      </c>
      <c r="U96" s="69">
        <v>75.214994704834865</v>
      </c>
      <c r="V96" s="69">
        <v>148.07952082514359</v>
      </c>
      <c r="W96" s="69">
        <v>246.79920137523939</v>
      </c>
      <c r="X96" s="69">
        <v>103.42061771914793</v>
      </c>
      <c r="Y96" s="69">
        <v>98.719680550095745</v>
      </c>
      <c r="Z96" s="69">
        <v>91.668274796517494</v>
      </c>
      <c r="AA96" s="77">
        <v>135.31907814711874</v>
      </c>
      <c r="AB96" s="41">
        <v>173.98167190343841</v>
      </c>
      <c r="AC96" s="59">
        <v>185.5804500303343</v>
      </c>
      <c r="AD96" s="87">
        <v>197.1792281572302</v>
      </c>
      <c r="AE96" s="87">
        <v>208.77800628412606</v>
      </c>
      <c r="AF96" s="88">
        <v>284.17006410894936</v>
      </c>
      <c r="AG96" s="88">
        <v>371.1609000606685</v>
      </c>
      <c r="AH96" s="88">
        <v>730.72302199444118</v>
      </c>
      <c r="AI96" s="88">
        <v>1217.8717033240684</v>
      </c>
      <c r="AJ96" s="88">
        <v>510.34623758341917</v>
      </c>
      <c r="AK96" s="88">
        <v>487.14868132962744</v>
      </c>
      <c r="AL96" s="88">
        <v>365.36151099722059</v>
      </c>
      <c r="AM96" s="41">
        <v>96.524078247798002</v>
      </c>
      <c r="AN96" s="41">
        <v>77.219262598238402</v>
      </c>
      <c r="AO96" s="41">
        <v>64.349385498532001</v>
      </c>
      <c r="AP96" s="41">
        <v>51.479508398825601</v>
      </c>
      <c r="AQ96" s="41">
        <v>38.609631299119201</v>
      </c>
      <c r="AR96" s="41">
        <v>30.029713232648266</v>
      </c>
      <c r="AS96" s="41">
        <v>17.159836132941866</v>
      </c>
      <c r="AT96" s="41">
        <v>0</v>
      </c>
      <c r="AU96" s="41"/>
      <c r="AV96" s="41"/>
      <c r="AW96" s="41"/>
      <c r="AX96" s="41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50">
        <v>6207.1584384506559</v>
      </c>
      <c r="BX96" s="60">
        <f>'48hr SPS '!$AZ$53</f>
        <v>15.757379999999998</v>
      </c>
      <c r="BY96" s="57">
        <f t="shared" si="48"/>
        <v>6222.9158184506559</v>
      </c>
      <c r="BZ96">
        <v>44</v>
      </c>
      <c r="CA96" t="s">
        <v>292</v>
      </c>
      <c r="CB96">
        <v>5497.7076441984245</v>
      </c>
      <c r="CC96" t="s">
        <v>980</v>
      </c>
    </row>
    <row r="97" spans="1:81">
      <c r="A97" s="57">
        <f>'24hr SPS'!A97</f>
        <v>44</v>
      </c>
      <c r="B97" s="57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>
        <v>0</v>
      </c>
      <c r="O97" s="69">
        <v>5.8761714613152352</v>
      </c>
      <c r="P97" s="69">
        <v>14.102811507156565</v>
      </c>
      <c r="Q97" s="69">
        <v>21.154217260734811</v>
      </c>
      <c r="R97" s="69">
        <v>28.205623014313094</v>
      </c>
      <c r="S97" s="69">
        <v>35.257028767891342</v>
      </c>
      <c r="T97" s="69">
        <v>49.359840275047894</v>
      </c>
      <c r="U97" s="69">
        <v>65.813120366730487</v>
      </c>
      <c r="V97" s="69">
        <v>131.62624073346103</v>
      </c>
      <c r="W97" s="69">
        <v>222.1192812377154</v>
      </c>
      <c r="X97" s="69">
        <v>94.018743381043578</v>
      </c>
      <c r="Y97" s="69">
        <v>90.493040504254438</v>
      </c>
      <c r="Z97" s="69">
        <v>84.616869042939214</v>
      </c>
      <c r="AA97" s="77">
        <v>125.65342970803884</v>
      </c>
      <c r="AB97" s="41">
        <v>162.38289377654252</v>
      </c>
      <c r="AC97" s="59">
        <v>173.98167190343841</v>
      </c>
      <c r="AD97" s="87">
        <v>185.5804500303343</v>
      </c>
      <c r="AE97" s="87">
        <v>197.1792281572302</v>
      </c>
      <c r="AF97" s="88">
        <v>243.57434066481375</v>
      </c>
      <c r="AG97" s="88">
        <v>324.76578755308492</v>
      </c>
      <c r="AH97" s="88">
        <v>649.53157510617007</v>
      </c>
      <c r="AI97" s="88">
        <v>1096.0845329916617</v>
      </c>
      <c r="AJ97" s="88">
        <v>463.95112507583559</v>
      </c>
      <c r="AK97" s="88">
        <v>446.55295788549188</v>
      </c>
      <c r="AL97" s="88">
        <v>417.55601256825207</v>
      </c>
      <c r="AM97" s="41">
        <v>112.611424622431</v>
      </c>
      <c r="AN97" s="41">
        <v>115.8288938973576</v>
      </c>
      <c r="AO97" s="41">
        <v>77.219262598238402</v>
      </c>
      <c r="AP97" s="41">
        <v>64.349385498532001</v>
      </c>
      <c r="AQ97" s="41">
        <v>51.479508398825601</v>
      </c>
      <c r="AR97" s="41">
        <v>45.044569848972401</v>
      </c>
      <c r="AS97" s="41">
        <v>34.319672265883732</v>
      </c>
      <c r="AT97" s="41">
        <v>30.029713232648266</v>
      </c>
      <c r="AU97" s="41">
        <v>0</v>
      </c>
      <c r="AV97" s="41"/>
      <c r="AW97" s="41"/>
      <c r="AX97" s="41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50">
        <v>5860.3194233363874</v>
      </c>
      <c r="BX97" s="60">
        <f>'48hr SPS '!$AZ$53</f>
        <v>15.757379999999998</v>
      </c>
      <c r="BY97" s="57">
        <f t="shared" si="48"/>
        <v>5876.0768033363875</v>
      </c>
      <c r="BZ97">
        <v>45</v>
      </c>
      <c r="CA97" t="s">
        <v>293</v>
      </c>
      <c r="CB97">
        <v>5497.7076441984245</v>
      </c>
      <c r="CC97" t="s">
        <v>980</v>
      </c>
    </row>
    <row r="98" spans="1:81">
      <c r="A98" s="57">
        <f>'24hr SPS'!A98</f>
        <v>45</v>
      </c>
      <c r="B98" s="57"/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>
        <v>0</v>
      </c>
      <c r="P98" s="69">
        <v>7.0514057535782824</v>
      </c>
      <c r="Q98" s="69">
        <v>14.102811507156565</v>
      </c>
      <c r="R98" s="69">
        <v>21.154217260734811</v>
      </c>
      <c r="S98" s="69">
        <v>28.205623014313094</v>
      </c>
      <c r="T98" s="69">
        <v>41.133200229206565</v>
      </c>
      <c r="U98" s="69">
        <v>56.411246028626167</v>
      </c>
      <c r="V98" s="69">
        <v>115.17296064177836</v>
      </c>
      <c r="W98" s="69">
        <v>197.43936110019155</v>
      </c>
      <c r="X98" s="69">
        <v>84.6168690429392</v>
      </c>
      <c r="Y98" s="69">
        <v>82.266400458413131</v>
      </c>
      <c r="Z98" s="69">
        <v>77.565463289360949</v>
      </c>
      <c r="AA98" s="77">
        <v>115.98778126895891</v>
      </c>
      <c r="AB98" s="41">
        <v>150.78411564964662</v>
      </c>
      <c r="AC98" s="59">
        <v>162.38289377654252</v>
      </c>
      <c r="AD98" s="87">
        <v>173.98167190343841</v>
      </c>
      <c r="AE98" s="87">
        <v>185.5804500303343</v>
      </c>
      <c r="AF98" s="88">
        <v>230.04243285010187</v>
      </c>
      <c r="AG98" s="88">
        <v>278.3706750455014</v>
      </c>
      <c r="AH98" s="88">
        <v>568.34012821789872</v>
      </c>
      <c r="AI98" s="88">
        <v>974.29736265925487</v>
      </c>
      <c r="AJ98" s="88">
        <v>417.55601256825202</v>
      </c>
      <c r="AK98" s="88">
        <v>405.95723444135621</v>
      </c>
      <c r="AL98" s="88">
        <v>382.75967818756448</v>
      </c>
      <c r="AM98" s="41">
        <v>128.698770997064</v>
      </c>
      <c r="AN98" s="41">
        <v>135.1337095469172</v>
      </c>
      <c r="AO98" s="41">
        <v>115.8288938973576</v>
      </c>
      <c r="AP98" s="41">
        <v>77.219262598238402</v>
      </c>
      <c r="AQ98" s="41">
        <v>64.349385498532001</v>
      </c>
      <c r="AR98" s="41">
        <v>60.059426465296532</v>
      </c>
      <c r="AS98" s="41">
        <v>51.479508398825608</v>
      </c>
      <c r="AT98" s="41">
        <v>60.059426465296532</v>
      </c>
      <c r="AU98" s="41">
        <v>45.044569848972401</v>
      </c>
      <c r="AV98" s="41">
        <v>0</v>
      </c>
      <c r="AW98" s="41"/>
      <c r="AX98" s="41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50">
        <v>5509.0329486416467</v>
      </c>
      <c r="BX98" s="60">
        <f>'48hr SPS '!$AZ$53</f>
        <v>15.757379999999998</v>
      </c>
      <c r="BY98" s="57">
        <f t="shared" si="48"/>
        <v>5524.7903286416467</v>
      </c>
      <c r="BZ98">
        <v>46</v>
      </c>
      <c r="CA98" t="s">
        <v>294</v>
      </c>
      <c r="CB98">
        <v>5497.7076441984245</v>
      </c>
      <c r="CC98" t="s">
        <v>980</v>
      </c>
    </row>
    <row r="99" spans="1:81">
      <c r="A99" s="57">
        <f>'24hr SPS'!A99</f>
        <v>46</v>
      </c>
      <c r="B99" s="57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>
        <v>0</v>
      </c>
      <c r="Q99" s="69">
        <v>7.0514057535782824</v>
      </c>
      <c r="R99" s="69">
        <v>14.102811507156565</v>
      </c>
      <c r="S99" s="69">
        <v>21.154217260734811</v>
      </c>
      <c r="T99" s="69">
        <v>32.906560183365272</v>
      </c>
      <c r="U99" s="69">
        <v>47.009371690521789</v>
      </c>
      <c r="V99" s="69">
        <v>98.719680550095788</v>
      </c>
      <c r="W99" s="69">
        <v>172.75944096266755</v>
      </c>
      <c r="X99" s="69">
        <v>75.214994704834865</v>
      </c>
      <c r="Y99" s="69">
        <v>74.039760412571795</v>
      </c>
      <c r="Z99" s="69">
        <v>70.514057535782683</v>
      </c>
      <c r="AA99" s="77">
        <v>106.32213282987901</v>
      </c>
      <c r="AB99" s="41">
        <v>139.18533752275073</v>
      </c>
      <c r="AC99" s="59">
        <v>150.78411564964662</v>
      </c>
      <c r="AD99" s="87">
        <v>162.38289377654252</v>
      </c>
      <c r="AE99" s="87">
        <v>173.98167190343841</v>
      </c>
      <c r="AF99" s="88">
        <v>216.51052503539</v>
      </c>
      <c r="AG99" s="88">
        <v>262.90563754297352</v>
      </c>
      <c r="AH99" s="88">
        <v>487.14868132962749</v>
      </c>
      <c r="AI99" s="88">
        <v>852.51019232684803</v>
      </c>
      <c r="AJ99" s="88">
        <v>371.1609000606685</v>
      </c>
      <c r="AK99" s="88">
        <v>365.36151099722059</v>
      </c>
      <c r="AL99" s="88">
        <v>347.96334380687676</v>
      </c>
      <c r="AM99" s="41">
        <v>117.97387341397534</v>
      </c>
      <c r="AN99" s="41">
        <v>154.4385251964768</v>
      </c>
      <c r="AO99" s="41">
        <v>135.1337095469172</v>
      </c>
      <c r="AP99" s="41">
        <v>115.8288938973576</v>
      </c>
      <c r="AQ99" s="41">
        <v>77.219262598238402</v>
      </c>
      <c r="AR99" s="41">
        <v>75.074283081620663</v>
      </c>
      <c r="AS99" s="41">
        <v>68.639344531767463</v>
      </c>
      <c r="AT99" s="41">
        <v>90.089139697944802</v>
      </c>
      <c r="AU99" s="41">
        <v>90.089139697944802</v>
      </c>
      <c r="AV99" s="41">
        <v>17.159836132941866</v>
      </c>
      <c r="AW99" s="41">
        <v>0</v>
      </c>
      <c r="AX99" s="41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50">
        <v>5191.3352511383564</v>
      </c>
      <c r="BX99" s="60">
        <f>'48hr SPS '!$AZ$53</f>
        <v>15.757379999999998</v>
      </c>
      <c r="BY99" s="57">
        <f t="shared" si="48"/>
        <v>5207.0926311383564</v>
      </c>
      <c r="BZ99">
        <v>47</v>
      </c>
      <c r="CA99" t="s">
        <v>295</v>
      </c>
      <c r="CB99">
        <v>5497.7076441984245</v>
      </c>
      <c r="CC99" t="s">
        <v>980</v>
      </c>
    </row>
    <row r="100" spans="1:81">
      <c r="A100" s="57">
        <f>'24hr SPS'!A100</f>
        <v>47</v>
      </c>
      <c r="B100" s="57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>
        <v>0</v>
      </c>
      <c r="R100" s="69">
        <v>7.0514057535782824</v>
      </c>
      <c r="S100" s="69">
        <v>14.102811507156565</v>
      </c>
      <c r="T100" s="69">
        <v>24.679920137523947</v>
      </c>
      <c r="U100" s="69">
        <v>37.607497352417461</v>
      </c>
      <c r="V100" s="69">
        <v>82.266400458413131</v>
      </c>
      <c r="W100" s="69">
        <v>148.07952082514367</v>
      </c>
      <c r="X100" s="69">
        <v>65.813120366730487</v>
      </c>
      <c r="Y100" s="69">
        <v>65.813120366730516</v>
      </c>
      <c r="Z100" s="69">
        <v>63.462651782204397</v>
      </c>
      <c r="AA100" s="77">
        <v>96.656484390799108</v>
      </c>
      <c r="AB100" s="41">
        <v>127.58655939585483</v>
      </c>
      <c r="AC100" s="59">
        <v>139.18533752275073</v>
      </c>
      <c r="AD100" s="87">
        <v>150.78411564964662</v>
      </c>
      <c r="AE100" s="87">
        <v>162.38289377654252</v>
      </c>
      <c r="AF100" s="88">
        <v>202.97861722067816</v>
      </c>
      <c r="AG100" s="88">
        <v>247.4406000404457</v>
      </c>
      <c r="AH100" s="88">
        <v>460.08486570020375</v>
      </c>
      <c r="AI100" s="88">
        <v>730.72302199444118</v>
      </c>
      <c r="AJ100" s="88">
        <v>324.76578755308492</v>
      </c>
      <c r="AK100" s="88">
        <v>324.76578755308503</v>
      </c>
      <c r="AL100" s="88">
        <v>313.16700942618905</v>
      </c>
      <c r="AM100" s="41">
        <v>107.24897583088666</v>
      </c>
      <c r="AN100" s="41">
        <v>141.56864809677043</v>
      </c>
      <c r="AO100" s="41">
        <v>154.4385251964768</v>
      </c>
      <c r="AP100" s="41">
        <v>135.1337095469172</v>
      </c>
      <c r="AQ100" s="41">
        <v>115.8288938973576</v>
      </c>
      <c r="AR100" s="41">
        <v>90.089139697944802</v>
      </c>
      <c r="AS100" s="41">
        <v>85.799180664709326</v>
      </c>
      <c r="AT100" s="41">
        <v>120.11885293059306</v>
      </c>
      <c r="AU100" s="41">
        <v>135.1337095469172</v>
      </c>
      <c r="AV100" s="41">
        <v>34.319672265883732</v>
      </c>
      <c r="AW100" s="41">
        <v>15.014856616324133</v>
      </c>
      <c r="AX100" s="41">
        <v>0</v>
      </c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50">
        <v>4924.0916930644016</v>
      </c>
      <c r="BX100" s="60">
        <f>'48hr SPS '!$AZ$53</f>
        <v>15.757379999999998</v>
      </c>
      <c r="BY100" s="57">
        <f t="shared" si="48"/>
        <v>4939.8490730644016</v>
      </c>
      <c r="BZ100">
        <v>48</v>
      </c>
      <c r="CA100" t="s">
        <v>296</v>
      </c>
      <c r="CB100">
        <v>5497.7076441984245</v>
      </c>
      <c r="CC100" t="s">
        <v>980</v>
      </c>
    </row>
    <row r="101" spans="1:81">
      <c r="A101" s="57">
        <f>'24hr SPS'!A101</f>
        <v>48</v>
      </c>
      <c r="B101" s="57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69">
        <v>0</v>
      </c>
      <c r="S101" s="69">
        <v>7.0514057535782824</v>
      </c>
      <c r="T101" s="69">
        <v>16.453280091682657</v>
      </c>
      <c r="U101" s="69">
        <v>28.205623014313083</v>
      </c>
      <c r="V101" s="69">
        <v>65.813120366730544</v>
      </c>
      <c r="W101" s="69">
        <v>123.3996006876197</v>
      </c>
      <c r="X101" s="69">
        <v>56.411246028626167</v>
      </c>
      <c r="Y101" s="69">
        <v>57.58648032088918</v>
      </c>
      <c r="Z101" s="69">
        <v>56.411246028626152</v>
      </c>
      <c r="AA101" s="77">
        <v>86.990835951719177</v>
      </c>
      <c r="AB101" s="41">
        <v>115.98778126895894</v>
      </c>
      <c r="AC101" s="59">
        <v>127.58655939585483</v>
      </c>
      <c r="AD101" s="87">
        <v>139.18533752275073</v>
      </c>
      <c r="AE101" s="87">
        <v>150.78411564964662</v>
      </c>
      <c r="AF101" s="88">
        <v>189.44670940596629</v>
      </c>
      <c r="AG101" s="88">
        <v>231.97556253791785</v>
      </c>
      <c r="AH101" s="88">
        <v>433.02105007078001</v>
      </c>
      <c r="AI101" s="88">
        <v>690.12729855030557</v>
      </c>
      <c r="AJ101" s="88">
        <v>278.3706750455014</v>
      </c>
      <c r="AK101" s="88">
        <v>284.17006410894936</v>
      </c>
      <c r="AL101" s="88">
        <v>278.37067504550146</v>
      </c>
      <c r="AM101" s="41">
        <v>96.524078247798002</v>
      </c>
      <c r="AN101" s="41">
        <v>128.698770997064</v>
      </c>
      <c r="AO101" s="41">
        <v>141.56864809677043</v>
      </c>
      <c r="AP101" s="41">
        <v>154.4385251964768</v>
      </c>
      <c r="AQ101" s="41">
        <v>135.1337095469172</v>
      </c>
      <c r="AR101" s="41">
        <v>135.1337095469172</v>
      </c>
      <c r="AS101" s="41">
        <v>102.95901679765122</v>
      </c>
      <c r="AT101" s="41">
        <v>150.14856616324133</v>
      </c>
      <c r="AU101" s="41">
        <v>180.1782793958896</v>
      </c>
      <c r="AV101" s="41">
        <v>51.479508398825608</v>
      </c>
      <c r="AW101" s="41">
        <v>30.029713232648266</v>
      </c>
      <c r="AX101" s="41">
        <v>12.8698770997064</v>
      </c>
      <c r="AY101" s="77">
        <v>0</v>
      </c>
      <c r="AZ101" s="77"/>
      <c r="BA101" s="77"/>
      <c r="BB101" s="77"/>
      <c r="BC101" s="77"/>
      <c r="BD101" s="77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50">
        <v>4736.5110695658241</v>
      </c>
      <c r="BX101" s="60">
        <f>'48hr SPS '!$AZ$53</f>
        <v>15.757379999999998</v>
      </c>
      <c r="BY101" s="57">
        <f t="shared" si="48"/>
        <v>4752.2684495658241</v>
      </c>
      <c r="BZ101">
        <v>49</v>
      </c>
      <c r="CA101" t="s">
        <v>297</v>
      </c>
      <c r="CB101">
        <v>5390.5829547385783</v>
      </c>
      <c r="CC101" t="s">
        <v>980</v>
      </c>
    </row>
    <row r="102" spans="1:81">
      <c r="A102" s="57">
        <f>'24hr SPS'!A102</f>
        <v>49</v>
      </c>
      <c r="B102" s="57"/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>
        <v>0</v>
      </c>
      <c r="T102" s="69">
        <v>8.2266400458413287</v>
      </c>
      <c r="U102" s="69">
        <v>18.803748676208752</v>
      </c>
      <c r="V102" s="69">
        <v>49.359840275047894</v>
      </c>
      <c r="W102" s="69">
        <v>98.719680550095831</v>
      </c>
      <c r="X102" s="69">
        <v>47.009371690521789</v>
      </c>
      <c r="Y102" s="69">
        <v>49.359840275047894</v>
      </c>
      <c r="Z102" s="69">
        <v>49.359840275047873</v>
      </c>
      <c r="AA102" s="77">
        <v>77.325187512639289</v>
      </c>
      <c r="AB102" s="41">
        <v>104.38900314206302</v>
      </c>
      <c r="AC102" s="59">
        <v>115.98778126895894</v>
      </c>
      <c r="AD102" s="87">
        <v>127.58655939585483</v>
      </c>
      <c r="AE102" s="87">
        <v>139.18533752275073</v>
      </c>
      <c r="AF102" s="88">
        <v>175.91480159125442</v>
      </c>
      <c r="AG102" s="88">
        <v>216.51052503539</v>
      </c>
      <c r="AH102" s="88">
        <v>405.95723444135632</v>
      </c>
      <c r="AI102" s="88">
        <v>649.53157510616995</v>
      </c>
      <c r="AJ102" s="88">
        <v>262.90563754297352</v>
      </c>
      <c r="AK102" s="88">
        <v>243.57434066481375</v>
      </c>
      <c r="AL102" s="88">
        <v>243.57434066481375</v>
      </c>
      <c r="AM102" s="41">
        <v>85.79918066470934</v>
      </c>
      <c r="AN102" s="41">
        <v>115.8288938973576</v>
      </c>
      <c r="AO102" s="41">
        <v>128.698770997064</v>
      </c>
      <c r="AP102" s="41">
        <v>141.56864809677043</v>
      </c>
      <c r="AQ102" s="41">
        <v>154.4385251964768</v>
      </c>
      <c r="AR102" s="41">
        <v>157.6559944714034</v>
      </c>
      <c r="AS102" s="41">
        <v>154.4385251964768</v>
      </c>
      <c r="AT102" s="41">
        <v>180.1782793958896</v>
      </c>
      <c r="AU102" s="41">
        <v>225.222849244862</v>
      </c>
      <c r="AV102" s="41">
        <v>68.639344531767463</v>
      </c>
      <c r="AW102" s="41">
        <v>45.044569848972401</v>
      </c>
      <c r="AX102" s="41">
        <v>25.739754199412801</v>
      </c>
      <c r="AY102" s="77">
        <v>3.6986785363373342</v>
      </c>
      <c r="AZ102" s="77">
        <v>0</v>
      </c>
      <c r="BA102" s="77"/>
      <c r="BB102" s="77"/>
      <c r="BC102" s="77"/>
      <c r="BD102" s="77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50">
        <v>4570.2332999543487</v>
      </c>
      <c r="BX102" s="60">
        <f>'48hr SPS '!$AZ$53</f>
        <v>15.757379999999998</v>
      </c>
      <c r="BY102" s="57">
        <f t="shared" si="48"/>
        <v>4585.9906799543487</v>
      </c>
      <c r="BZ102">
        <v>50</v>
      </c>
      <c r="CA102" t="s">
        <v>298</v>
      </c>
      <c r="CB102">
        <v>5390.5829547385783</v>
      </c>
      <c r="CC102" t="s">
        <v>980</v>
      </c>
    </row>
    <row r="103" spans="1:81">
      <c r="A103" s="57">
        <f>'24hr SPS'!A103</f>
        <v>50</v>
      </c>
      <c r="B103" s="57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>
        <v>0</v>
      </c>
      <c r="U103" s="69">
        <v>9.4018743381043759</v>
      </c>
      <c r="V103" s="69">
        <v>32.906560183365315</v>
      </c>
      <c r="W103" s="69">
        <v>74.039760412571837</v>
      </c>
      <c r="X103" s="69">
        <v>37.607497352417461</v>
      </c>
      <c r="Y103" s="69">
        <v>41.133200229206565</v>
      </c>
      <c r="Z103" s="69">
        <v>42.308434521469621</v>
      </c>
      <c r="AA103" s="77">
        <v>67.659539073559358</v>
      </c>
      <c r="AB103" s="41">
        <v>92.790225015167167</v>
      </c>
      <c r="AC103" s="59">
        <v>104.38900314206302</v>
      </c>
      <c r="AD103" s="87">
        <v>115.98778126895894</v>
      </c>
      <c r="AE103" s="87">
        <v>127.58655939585483</v>
      </c>
      <c r="AF103" s="88">
        <v>162.38289377654252</v>
      </c>
      <c r="AG103" s="88">
        <v>201.04548753286215</v>
      </c>
      <c r="AH103" s="88">
        <v>378.89341881193258</v>
      </c>
      <c r="AI103" s="88">
        <v>608.93585166203434</v>
      </c>
      <c r="AJ103" s="88">
        <v>247.4406000404457</v>
      </c>
      <c r="AK103" s="88">
        <v>230.04243285010187</v>
      </c>
      <c r="AL103" s="88">
        <v>208.77800628412606</v>
      </c>
      <c r="AM103" s="41">
        <v>75.074283081620663</v>
      </c>
      <c r="AN103" s="41">
        <v>102.95901679765122</v>
      </c>
      <c r="AO103" s="41">
        <v>115.8288938973576</v>
      </c>
      <c r="AP103" s="41">
        <v>128.698770997064</v>
      </c>
      <c r="AQ103" s="41">
        <v>141.56864809677043</v>
      </c>
      <c r="AR103" s="41">
        <v>180.1782793958896</v>
      </c>
      <c r="AS103" s="41">
        <v>180.1782793958896</v>
      </c>
      <c r="AT103" s="41">
        <v>270.26741909383441</v>
      </c>
      <c r="AU103" s="41">
        <v>270.26741909383441</v>
      </c>
      <c r="AV103" s="41">
        <v>85.799180664709326</v>
      </c>
      <c r="AW103" s="41">
        <v>60.059426465296532</v>
      </c>
      <c r="AX103" s="41">
        <v>38.609631299119201</v>
      </c>
      <c r="AY103" s="77">
        <v>7.3973570726746685</v>
      </c>
      <c r="AZ103" s="77">
        <v>4.4384142436048002</v>
      </c>
      <c r="BA103" s="77">
        <v>0</v>
      </c>
      <c r="BB103" s="77"/>
      <c r="BC103" s="77"/>
      <c r="BD103" s="77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50">
        <v>4444.6541454861008</v>
      </c>
      <c r="BX103" s="60">
        <f>'48hr SPS '!$AZ$53</f>
        <v>15.757379999999998</v>
      </c>
      <c r="BY103" s="57">
        <f t="shared" si="48"/>
        <v>4460.4115254861008</v>
      </c>
      <c r="BZ103">
        <v>51</v>
      </c>
      <c r="CA103" t="s">
        <v>299</v>
      </c>
      <c r="CB103">
        <v>5390.5829547385783</v>
      </c>
      <c r="CC103" t="s">
        <v>980</v>
      </c>
    </row>
    <row r="104" spans="1:81">
      <c r="A104" s="57">
        <f>'24hr SPS'!A104</f>
        <v>51</v>
      </c>
      <c r="B104" s="57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>
        <v>0</v>
      </c>
      <c r="V104" s="69">
        <v>16.453280091682657</v>
      </c>
      <c r="W104" s="69">
        <v>49.359840275047979</v>
      </c>
      <c r="X104" s="69">
        <v>28.205623014313083</v>
      </c>
      <c r="Y104" s="69">
        <v>32.906560183365272</v>
      </c>
      <c r="Z104" s="69">
        <v>35.257028767891342</v>
      </c>
      <c r="AA104" s="77">
        <v>57.993890634479484</v>
      </c>
      <c r="AB104" s="41">
        <v>81.191446888271244</v>
      </c>
      <c r="AC104" s="59">
        <v>92.790225015167167</v>
      </c>
      <c r="AD104" s="87">
        <v>104.38900314206302</v>
      </c>
      <c r="AE104" s="87">
        <v>115.98778126895894</v>
      </c>
      <c r="AF104" s="88">
        <v>148.85098596183065</v>
      </c>
      <c r="AG104" s="88">
        <v>185.58045003033425</v>
      </c>
      <c r="AH104" s="88">
        <v>351.82960318250883</v>
      </c>
      <c r="AI104" s="88">
        <v>568.34012821789872</v>
      </c>
      <c r="AJ104" s="88">
        <v>231.97556253791785</v>
      </c>
      <c r="AK104" s="88">
        <v>216.51052503539</v>
      </c>
      <c r="AL104" s="88">
        <v>197.1792281572302</v>
      </c>
      <c r="AM104" s="41">
        <v>64.349385498532001</v>
      </c>
      <c r="AN104" s="41">
        <v>90.089139697944816</v>
      </c>
      <c r="AO104" s="41">
        <v>102.95901679765122</v>
      </c>
      <c r="AP104" s="41">
        <v>115.8288938973576</v>
      </c>
      <c r="AQ104" s="41">
        <v>128.698770997064</v>
      </c>
      <c r="AR104" s="41">
        <v>165.16342277956551</v>
      </c>
      <c r="AS104" s="41">
        <v>205.91803359530243</v>
      </c>
      <c r="AT104" s="41">
        <v>315.31198894280681</v>
      </c>
      <c r="AU104" s="41">
        <v>405.40112864075166</v>
      </c>
      <c r="AV104" s="41">
        <v>102.95901679765122</v>
      </c>
      <c r="AW104" s="41">
        <v>75.074283081620663</v>
      </c>
      <c r="AX104" s="41">
        <v>51.479508398825601</v>
      </c>
      <c r="AY104" s="77">
        <v>11.096035609012004</v>
      </c>
      <c r="AZ104" s="77">
        <v>8.8768284872096004</v>
      </c>
      <c r="BA104" s="77">
        <v>4.4384142436048002</v>
      </c>
      <c r="BB104" s="77">
        <v>0</v>
      </c>
      <c r="BC104" s="77"/>
      <c r="BD104" s="77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50">
        <v>4362.44502986925</v>
      </c>
      <c r="BX104" s="60">
        <f>'48hr SPS '!$AZ$53</f>
        <v>15.757379999999998</v>
      </c>
      <c r="BY104" s="57">
        <f t="shared" si="48"/>
        <v>4378.20240986925</v>
      </c>
      <c r="BZ104">
        <v>52</v>
      </c>
      <c r="CA104" t="s">
        <v>300</v>
      </c>
      <c r="CB104">
        <v>5390.5829547385783</v>
      </c>
      <c r="CC104" t="s">
        <v>980</v>
      </c>
    </row>
    <row r="105" spans="1:81">
      <c r="A105" s="57">
        <f>'24hr SPS'!A105</f>
        <v>52</v>
      </c>
      <c r="B105" s="57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>
        <v>0</v>
      </c>
      <c r="W105" s="69">
        <v>24.67992013752399</v>
      </c>
      <c r="X105" s="69">
        <v>18.803748676208752</v>
      </c>
      <c r="Y105" s="69">
        <v>24.679920137523947</v>
      </c>
      <c r="Z105" s="69">
        <v>28.205623014313094</v>
      </c>
      <c r="AA105" s="77">
        <v>48.328242195399554</v>
      </c>
      <c r="AB105" s="41">
        <v>69.592668761375393</v>
      </c>
      <c r="AC105" s="59">
        <v>81.191446888271244</v>
      </c>
      <c r="AD105" s="87">
        <v>92.790225015167167</v>
      </c>
      <c r="AE105" s="87">
        <v>104.38900314206302</v>
      </c>
      <c r="AF105" s="88">
        <v>135.31907814711877</v>
      </c>
      <c r="AG105" s="88">
        <v>170.1154125278064</v>
      </c>
      <c r="AH105" s="88">
        <v>324.76578755308503</v>
      </c>
      <c r="AI105" s="88">
        <v>527.74440477376311</v>
      </c>
      <c r="AJ105" s="88">
        <v>216.51052503539</v>
      </c>
      <c r="AK105" s="88">
        <v>202.97861722067816</v>
      </c>
      <c r="AL105" s="88">
        <v>185.5804500303343</v>
      </c>
      <c r="AM105" s="41">
        <v>60.774419637502454</v>
      </c>
      <c r="AN105" s="41">
        <v>77.219262598238416</v>
      </c>
      <c r="AO105" s="41">
        <v>90.089139697944816</v>
      </c>
      <c r="AP105" s="41">
        <v>102.95901679765122</v>
      </c>
      <c r="AQ105" s="41">
        <v>115.8288938973576</v>
      </c>
      <c r="AR105" s="41">
        <v>150.14856616324136</v>
      </c>
      <c r="AS105" s="41">
        <v>188.75819746236058</v>
      </c>
      <c r="AT105" s="41">
        <v>360.35655879177921</v>
      </c>
      <c r="AU105" s="41">
        <v>472.96798341421027</v>
      </c>
      <c r="AV105" s="41">
        <v>154.4385251964768</v>
      </c>
      <c r="AW105" s="41">
        <v>90.089139697944802</v>
      </c>
      <c r="AX105" s="41">
        <v>64.349385498532001</v>
      </c>
      <c r="AY105" s="77">
        <v>14.794714145349337</v>
      </c>
      <c r="AZ105" s="77">
        <v>13.315242730814402</v>
      </c>
      <c r="BA105" s="77">
        <v>8.8768284872096004</v>
      </c>
      <c r="BB105" s="77">
        <v>4.4384142436048002</v>
      </c>
      <c r="BC105" s="77">
        <v>0</v>
      </c>
      <c r="BD105" s="77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50">
        <v>4225.079361716239</v>
      </c>
      <c r="BX105" s="60">
        <f>'48hr SPS '!$AZ$53</f>
        <v>15.757379999999998</v>
      </c>
      <c r="BY105" s="57">
        <f t="shared" si="48"/>
        <v>4240.836741716239</v>
      </c>
      <c r="BZ105">
        <v>53</v>
      </c>
      <c r="CA105" t="s">
        <v>301</v>
      </c>
      <c r="CB105">
        <v>5390.5829547385783</v>
      </c>
      <c r="CC105" t="s">
        <v>980</v>
      </c>
    </row>
    <row r="106" spans="1:81">
      <c r="A106" s="57">
        <f>'24hr SPS'!A106</f>
        <v>53</v>
      </c>
      <c r="B106" s="57"/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>
        <v>0</v>
      </c>
      <c r="X106" s="69">
        <v>9.4018743381043759</v>
      </c>
      <c r="Y106" s="69">
        <v>16.453280091682657</v>
      </c>
      <c r="Z106" s="69">
        <v>21.154217260734811</v>
      </c>
      <c r="AA106" s="77">
        <v>38.662593756319673</v>
      </c>
      <c r="AB106" s="41">
        <v>57.99389063447947</v>
      </c>
      <c r="AC106" s="59">
        <v>69.592668761375393</v>
      </c>
      <c r="AD106" s="87">
        <v>81.191446888271244</v>
      </c>
      <c r="AE106" s="87">
        <v>92.790225015167167</v>
      </c>
      <c r="AF106" s="88">
        <v>121.78717033240686</v>
      </c>
      <c r="AG106" s="88">
        <v>154.65037502527855</v>
      </c>
      <c r="AH106" s="88">
        <v>297.70197192366129</v>
      </c>
      <c r="AI106" s="88">
        <v>487.14868132962744</v>
      </c>
      <c r="AJ106" s="88">
        <v>201.04548753286215</v>
      </c>
      <c r="AK106" s="88">
        <v>189.44670940596629</v>
      </c>
      <c r="AL106" s="88">
        <v>173.98167190343841</v>
      </c>
      <c r="AM106" s="41">
        <v>57.1994537764729</v>
      </c>
      <c r="AN106" s="41">
        <v>72.929303565002954</v>
      </c>
      <c r="AO106" s="41">
        <v>77.219262598238416</v>
      </c>
      <c r="AP106" s="41">
        <v>90.089139697944816</v>
      </c>
      <c r="AQ106" s="41">
        <v>102.95901679765122</v>
      </c>
      <c r="AR106" s="41">
        <v>135.1337095469172</v>
      </c>
      <c r="AS106" s="41">
        <v>171.59836132941868</v>
      </c>
      <c r="AT106" s="41">
        <v>330.32684555913102</v>
      </c>
      <c r="AU106" s="41">
        <v>540.53483818766881</v>
      </c>
      <c r="AV106" s="41">
        <v>180.1782793958896</v>
      </c>
      <c r="AW106" s="41">
        <v>135.1337095469172</v>
      </c>
      <c r="AX106" s="41">
        <v>77.219262598238402</v>
      </c>
      <c r="AY106" s="77">
        <v>18.493392681686672</v>
      </c>
      <c r="AZ106" s="77">
        <v>17.753656974419201</v>
      </c>
      <c r="BA106" s="77">
        <v>13.315242730814402</v>
      </c>
      <c r="BB106" s="77">
        <v>8.8768284872096004</v>
      </c>
      <c r="BC106" s="77">
        <v>4.4384142436048002</v>
      </c>
      <c r="BD106" s="77">
        <v>0</v>
      </c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50">
        <v>4046.4009819166017</v>
      </c>
      <c r="BX106" s="60">
        <f>'48hr SPS '!$AZ$53</f>
        <v>15.757379999999998</v>
      </c>
      <c r="BY106" s="57">
        <f t="shared" si="48"/>
        <v>4062.1583619166017</v>
      </c>
      <c r="BZ106">
        <v>54</v>
      </c>
      <c r="CA106" t="s">
        <v>302</v>
      </c>
      <c r="CB106">
        <v>5390.5829547385783</v>
      </c>
      <c r="CC106" t="s">
        <v>980</v>
      </c>
    </row>
    <row r="107" spans="1:81">
      <c r="A107" s="57">
        <f>'24hr SPS'!A107</f>
        <v>54</v>
      </c>
      <c r="B107" s="57"/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R107" s="69"/>
      <c r="S107" s="69"/>
      <c r="T107" s="69"/>
      <c r="U107" s="69"/>
      <c r="V107" s="69"/>
      <c r="W107" s="69"/>
      <c r="X107" s="69">
        <v>0</v>
      </c>
      <c r="Y107" s="69">
        <v>8.2266400458413287</v>
      </c>
      <c r="Z107" s="69">
        <v>14.102811507156565</v>
      </c>
      <c r="AA107" s="77">
        <v>28.996945317239742</v>
      </c>
      <c r="AB107" s="41">
        <v>46.395112507583612</v>
      </c>
      <c r="AC107" s="59">
        <v>57.99389063447947</v>
      </c>
      <c r="AD107" s="87">
        <v>69.592668761375393</v>
      </c>
      <c r="AE107" s="87">
        <v>81.191446888271244</v>
      </c>
      <c r="AF107" s="88">
        <v>108.25526251769503</v>
      </c>
      <c r="AG107" s="88">
        <v>139.18533752275067</v>
      </c>
      <c r="AH107" s="88">
        <v>270.63815629423755</v>
      </c>
      <c r="AI107" s="88">
        <v>446.55295788549182</v>
      </c>
      <c r="AJ107" s="88">
        <v>185.58045003033425</v>
      </c>
      <c r="AK107" s="88">
        <v>175.91480159125442</v>
      </c>
      <c r="AL107" s="88">
        <v>162.38289377654252</v>
      </c>
      <c r="AM107" s="41">
        <v>53.624487915443346</v>
      </c>
      <c r="AN107" s="41">
        <v>68.639344531767478</v>
      </c>
      <c r="AO107" s="41">
        <v>72.929303565002954</v>
      </c>
      <c r="AP107" s="41">
        <v>77.219262598238416</v>
      </c>
      <c r="AQ107" s="41">
        <v>90.089139697944816</v>
      </c>
      <c r="AR107" s="41">
        <v>120.11885293059309</v>
      </c>
      <c r="AS107" s="41">
        <v>154.4385251964768</v>
      </c>
      <c r="AT107" s="41">
        <v>300.29713232648271</v>
      </c>
      <c r="AU107" s="41">
        <v>495.49026833869652</v>
      </c>
      <c r="AV107" s="41">
        <v>205.91803359530243</v>
      </c>
      <c r="AW107" s="41">
        <v>157.6559944714034</v>
      </c>
      <c r="AX107" s="41">
        <v>115.8288938973576</v>
      </c>
      <c r="AY107" s="77">
        <v>22.192071218024008</v>
      </c>
      <c r="AZ107" s="77">
        <v>22.192071218024001</v>
      </c>
      <c r="BA107" s="77">
        <v>17.753656974419201</v>
      </c>
      <c r="BB107" s="77">
        <v>13.315242730814402</v>
      </c>
      <c r="BC107" s="77">
        <v>8.8768284872096004</v>
      </c>
      <c r="BD107" s="77">
        <v>5.1781499508722675</v>
      </c>
      <c r="BE107" s="41">
        <v>0</v>
      </c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50">
        <v>3796.7666349243273</v>
      </c>
      <c r="BX107" s="60">
        <f>'48hr SPS '!$AZ$53</f>
        <v>15.757379999999998</v>
      </c>
      <c r="BY107" s="57">
        <f t="shared" si="48"/>
        <v>3812.5240149243273</v>
      </c>
      <c r="BZ107">
        <v>55</v>
      </c>
      <c r="CA107" t="s">
        <v>303</v>
      </c>
      <c r="CB107">
        <v>5390.5829547385783</v>
      </c>
      <c r="CC107" t="s">
        <v>980</v>
      </c>
    </row>
    <row r="108" spans="1:81">
      <c r="A108" s="57">
        <f>'24hr SPS'!A108</f>
        <v>55</v>
      </c>
      <c r="B108" s="57"/>
      <c r="C108" s="69"/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/>
      <c r="T108" s="69"/>
      <c r="U108" s="69"/>
      <c r="V108" s="69"/>
      <c r="W108" s="69"/>
      <c r="X108" s="69"/>
      <c r="Y108" s="69">
        <v>0</v>
      </c>
      <c r="Z108" s="69">
        <v>7.0514057535782824</v>
      </c>
      <c r="AA108" s="77">
        <v>19.331296878159861</v>
      </c>
      <c r="AB108" s="41">
        <v>34.796334380687696</v>
      </c>
      <c r="AC108" s="59">
        <v>46.395112507583612</v>
      </c>
      <c r="AD108" s="87">
        <v>57.99389063447947</v>
      </c>
      <c r="AE108" s="87">
        <v>69.592668761375393</v>
      </c>
      <c r="AF108" s="88">
        <v>94.723354702983116</v>
      </c>
      <c r="AG108" s="88">
        <v>123.72030002022287</v>
      </c>
      <c r="AH108" s="88">
        <v>243.57434066481372</v>
      </c>
      <c r="AI108" s="88">
        <v>405.95723444135626</v>
      </c>
      <c r="AJ108" s="88">
        <v>170.1154125278064</v>
      </c>
      <c r="AK108" s="88">
        <v>162.38289377654252</v>
      </c>
      <c r="AL108" s="88">
        <v>150.78411564964662</v>
      </c>
      <c r="AM108" s="41">
        <v>50.049522054413792</v>
      </c>
      <c r="AN108" s="41">
        <v>64.349385498532016</v>
      </c>
      <c r="AO108" s="41">
        <v>68.639344531767478</v>
      </c>
      <c r="AP108" s="41">
        <v>72.929303565002954</v>
      </c>
      <c r="AQ108" s="41">
        <v>77.219262598238416</v>
      </c>
      <c r="AR108" s="41">
        <v>105.10399631426895</v>
      </c>
      <c r="AS108" s="41">
        <v>137.27868906353496</v>
      </c>
      <c r="AT108" s="41">
        <v>270.26741909383441</v>
      </c>
      <c r="AU108" s="41">
        <v>450.44569848972407</v>
      </c>
      <c r="AV108" s="41">
        <v>188.75819746236058</v>
      </c>
      <c r="AW108" s="41">
        <v>180.1782793958896</v>
      </c>
      <c r="AX108" s="41">
        <v>135.1337095469172</v>
      </c>
      <c r="AY108" s="77">
        <v>33.28810682703601</v>
      </c>
      <c r="AZ108" s="77">
        <v>26.630485461628805</v>
      </c>
      <c r="BA108" s="77">
        <v>22.192071218024001</v>
      </c>
      <c r="BB108" s="77">
        <v>17.753656974419201</v>
      </c>
      <c r="BC108" s="77">
        <v>13.315242730814402</v>
      </c>
      <c r="BD108" s="77">
        <v>10.356299901744535</v>
      </c>
      <c r="BE108" s="41">
        <v>5.9178856581397348</v>
      </c>
      <c r="BF108" s="41">
        <v>0</v>
      </c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50">
        <v>3516.2249170855262</v>
      </c>
      <c r="BX108" s="60">
        <f>'48hr SPS '!$AZ$53</f>
        <v>15.757379999999998</v>
      </c>
      <c r="BY108" s="57">
        <f t="shared" si="48"/>
        <v>3531.9822970855262</v>
      </c>
      <c r="BZ108">
        <v>56</v>
      </c>
      <c r="CA108" t="s">
        <v>304</v>
      </c>
      <c r="CB108">
        <v>5390.5829547385783</v>
      </c>
      <c r="CC108" t="s">
        <v>980</v>
      </c>
    </row>
    <row r="109" spans="1:81">
      <c r="A109" s="57">
        <f>'24hr SPS'!A109</f>
        <v>56</v>
      </c>
      <c r="B109" s="57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/>
      <c r="T109" s="69"/>
      <c r="U109" s="69"/>
      <c r="V109" s="69"/>
      <c r="W109" s="69"/>
      <c r="X109" s="69"/>
      <c r="Y109" s="69"/>
      <c r="Z109" s="69">
        <v>0</v>
      </c>
      <c r="AA109" s="77">
        <v>9.6656484390799307</v>
      </c>
      <c r="AB109" s="41">
        <v>23.197556253791834</v>
      </c>
      <c r="AC109" s="59">
        <v>34.796334380687696</v>
      </c>
      <c r="AD109" s="87">
        <v>46.395112507583612</v>
      </c>
      <c r="AE109" s="87">
        <v>57.99389063447947</v>
      </c>
      <c r="AF109" s="88">
        <v>81.191446888271287</v>
      </c>
      <c r="AG109" s="88">
        <v>108.25526251769497</v>
      </c>
      <c r="AH109" s="88">
        <v>216.51052503539006</v>
      </c>
      <c r="AI109" s="88">
        <v>365.36151099722053</v>
      </c>
      <c r="AJ109" s="88">
        <v>154.65037502527855</v>
      </c>
      <c r="AK109" s="88">
        <v>148.85098596183065</v>
      </c>
      <c r="AL109" s="88">
        <v>139.18533752275073</v>
      </c>
      <c r="AM109" s="41">
        <v>46.474556193384231</v>
      </c>
      <c r="AN109" s="41">
        <v>60.059426465296553</v>
      </c>
      <c r="AO109" s="41">
        <v>64.349385498532016</v>
      </c>
      <c r="AP109" s="41">
        <v>68.639344531767478</v>
      </c>
      <c r="AQ109" s="41">
        <v>72.929303565002954</v>
      </c>
      <c r="AR109" s="41">
        <v>90.089139697944816</v>
      </c>
      <c r="AS109" s="41">
        <v>120.11885293059309</v>
      </c>
      <c r="AT109" s="41">
        <v>240.23770586118619</v>
      </c>
      <c r="AU109" s="41">
        <v>405.40112864075166</v>
      </c>
      <c r="AV109" s="41">
        <v>171.59836132941868</v>
      </c>
      <c r="AW109" s="41">
        <v>165.16342277956551</v>
      </c>
      <c r="AX109" s="41">
        <v>154.4385251964768</v>
      </c>
      <c r="AY109" s="77">
        <v>38.836124631542013</v>
      </c>
      <c r="AZ109" s="77">
        <v>39.945728192443205</v>
      </c>
      <c r="BA109" s="77">
        <v>26.630485461628805</v>
      </c>
      <c r="BB109" s="77">
        <v>22.192071218024001</v>
      </c>
      <c r="BC109" s="77">
        <v>17.753656974419201</v>
      </c>
      <c r="BD109" s="77">
        <v>15.534449852616802</v>
      </c>
      <c r="BE109" s="41">
        <v>11.83577131627947</v>
      </c>
      <c r="BF109" s="41">
        <v>10.356299901744535</v>
      </c>
      <c r="BG109" s="77">
        <v>0</v>
      </c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50">
        <v>3228.6377264026778</v>
      </c>
      <c r="BX109" s="60">
        <f>'48hr SPS '!$AZ$53</f>
        <v>15.757379999999998</v>
      </c>
      <c r="BY109" s="57">
        <f t="shared" si="48"/>
        <v>3244.3951064026778</v>
      </c>
      <c r="BZ109">
        <v>57</v>
      </c>
      <c r="CA109" t="s">
        <v>305</v>
      </c>
      <c r="CB109">
        <v>5390.5829547385783</v>
      </c>
      <c r="CC109" t="s">
        <v>980</v>
      </c>
    </row>
    <row r="110" spans="1:81">
      <c r="A110" s="57">
        <f>'24hr SPS'!A110</f>
        <v>57</v>
      </c>
      <c r="B110" s="57"/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/>
      <c r="T110" s="69"/>
      <c r="U110" s="69"/>
      <c r="V110" s="69"/>
      <c r="W110" s="69"/>
      <c r="X110" s="69"/>
      <c r="Y110" s="69"/>
      <c r="Z110" s="69"/>
      <c r="AA110" s="77">
        <v>0</v>
      </c>
      <c r="AB110" s="41">
        <v>11.598778126895917</v>
      </c>
      <c r="AC110" s="59">
        <v>23.197556253791834</v>
      </c>
      <c r="AD110" s="87">
        <v>34.796334380687696</v>
      </c>
      <c r="AE110" s="87">
        <v>46.395112507583612</v>
      </c>
      <c r="AF110" s="88">
        <v>67.659539073559387</v>
      </c>
      <c r="AG110" s="88">
        <v>92.790225015167167</v>
      </c>
      <c r="AH110" s="88">
        <v>189.44670940596623</v>
      </c>
      <c r="AI110" s="88">
        <v>324.76578755308503</v>
      </c>
      <c r="AJ110" s="88">
        <v>139.18533752275067</v>
      </c>
      <c r="AK110" s="88">
        <v>135.31907814711877</v>
      </c>
      <c r="AL110" s="88">
        <v>127.58655939585483</v>
      </c>
      <c r="AM110" s="41">
        <v>42.89959033235467</v>
      </c>
      <c r="AN110" s="41">
        <v>55.769467432061084</v>
      </c>
      <c r="AO110" s="41">
        <v>60.059426465296553</v>
      </c>
      <c r="AP110" s="41">
        <v>64.349385498532016</v>
      </c>
      <c r="AQ110" s="41">
        <v>68.639344531767478</v>
      </c>
      <c r="AR110" s="41">
        <v>85.084187492503446</v>
      </c>
      <c r="AS110" s="41">
        <v>102.95901679765123</v>
      </c>
      <c r="AT110" s="41">
        <v>210.20799262853791</v>
      </c>
      <c r="AU110" s="41">
        <v>360.35655879177926</v>
      </c>
      <c r="AV110" s="41">
        <v>154.4385251964768</v>
      </c>
      <c r="AW110" s="41">
        <v>150.14856616324136</v>
      </c>
      <c r="AX110" s="41">
        <v>141.56864809677043</v>
      </c>
      <c r="AY110" s="77">
        <v>44.384142436048016</v>
      </c>
      <c r="AZ110" s="77">
        <v>46.603349557850407</v>
      </c>
      <c r="BA110" s="77">
        <v>39.945728192443205</v>
      </c>
      <c r="BB110" s="77">
        <v>26.630485461628805</v>
      </c>
      <c r="BC110" s="77">
        <v>22.192071218024001</v>
      </c>
      <c r="BD110" s="77">
        <v>20.71259980348907</v>
      </c>
      <c r="BE110" s="41">
        <v>17.753656974419204</v>
      </c>
      <c r="BF110" s="41">
        <v>20.71259980348907</v>
      </c>
      <c r="BG110" s="77">
        <v>15.534449852616804</v>
      </c>
      <c r="BH110" s="77">
        <v>0</v>
      </c>
      <c r="BI110" s="77"/>
      <c r="BJ110" s="77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50">
        <v>2943.6908101094418</v>
      </c>
      <c r="BX110" s="60">
        <f>'48hr SPS '!$AZ$53</f>
        <v>15.757379999999998</v>
      </c>
      <c r="BY110" s="57">
        <f t="shared" si="48"/>
        <v>2959.4481901094418</v>
      </c>
      <c r="BZ110">
        <v>58</v>
      </c>
      <c r="CA110" t="s">
        <v>306</v>
      </c>
      <c r="CB110">
        <v>5390.5829547385783</v>
      </c>
      <c r="CC110" t="s">
        <v>980</v>
      </c>
    </row>
    <row r="111" spans="1:81">
      <c r="A111" s="57">
        <f>'24hr SPS'!A111</f>
        <v>58</v>
      </c>
      <c r="B111" s="57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77"/>
      <c r="AB111" s="41">
        <v>0</v>
      </c>
      <c r="AC111" s="59">
        <v>11.598778126895917</v>
      </c>
      <c r="AD111" s="87">
        <v>23.197556253791834</v>
      </c>
      <c r="AE111" s="87">
        <v>34.796334380687696</v>
      </c>
      <c r="AF111" s="88">
        <v>54.127631258847543</v>
      </c>
      <c r="AG111" s="88">
        <v>77.325187512639275</v>
      </c>
      <c r="AH111" s="88">
        <v>162.38289377654257</v>
      </c>
      <c r="AI111" s="88">
        <v>284.1700641089493</v>
      </c>
      <c r="AJ111" s="88">
        <v>123.72030002022287</v>
      </c>
      <c r="AK111" s="88">
        <v>121.78717033240686</v>
      </c>
      <c r="AL111" s="88">
        <v>115.98778126895894</v>
      </c>
      <c r="AM111" s="41">
        <v>39.324624471325116</v>
      </c>
      <c r="AN111" s="41">
        <v>51.479508398825608</v>
      </c>
      <c r="AO111" s="41">
        <v>55.769467432061084</v>
      </c>
      <c r="AP111" s="41">
        <v>60.059426465296553</v>
      </c>
      <c r="AQ111" s="41">
        <v>64.349385498532016</v>
      </c>
      <c r="AR111" s="41">
        <v>80.079235287062062</v>
      </c>
      <c r="AS111" s="41">
        <v>97.239071420003938</v>
      </c>
      <c r="AT111" s="41">
        <v>180.17827939588963</v>
      </c>
      <c r="AU111" s="41">
        <v>315.31198894280686</v>
      </c>
      <c r="AV111" s="41">
        <v>137.27868906353496</v>
      </c>
      <c r="AW111" s="41">
        <v>135.1337095469172</v>
      </c>
      <c r="AX111" s="41">
        <v>128.698770997064</v>
      </c>
      <c r="AY111" s="77">
        <v>40.685463899710683</v>
      </c>
      <c r="AZ111" s="77">
        <v>53.260970923257609</v>
      </c>
      <c r="BA111" s="77">
        <v>46.603349557850407</v>
      </c>
      <c r="BB111" s="77">
        <v>39.945728192443205</v>
      </c>
      <c r="BC111" s="77">
        <v>26.630485461628805</v>
      </c>
      <c r="BD111" s="77">
        <v>25.890749754361337</v>
      </c>
      <c r="BE111" s="41">
        <v>23.671542632558939</v>
      </c>
      <c r="BF111" s="41">
        <v>31.068899705233605</v>
      </c>
      <c r="BG111" s="77">
        <v>31.068899705233608</v>
      </c>
      <c r="BH111" s="77">
        <v>5.9178856581397348</v>
      </c>
      <c r="BI111" s="77">
        <v>0</v>
      </c>
      <c r="BJ111" s="77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50">
        <v>2678.7398294496793</v>
      </c>
      <c r="BX111" s="60">
        <f>'48hr SPS '!$AZ$53</f>
        <v>15.757379999999998</v>
      </c>
      <c r="BY111" s="57">
        <f t="shared" si="48"/>
        <v>2694.4972094496793</v>
      </c>
      <c r="BZ111">
        <v>59</v>
      </c>
      <c r="CA111" t="s">
        <v>307</v>
      </c>
      <c r="CB111">
        <v>5390.5829547385783</v>
      </c>
      <c r="CC111" t="s">
        <v>980</v>
      </c>
    </row>
    <row r="112" spans="1:81">
      <c r="A112" s="57">
        <f>'24hr SPS'!A112</f>
        <v>59</v>
      </c>
      <c r="B112" s="57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77"/>
      <c r="AB112" s="41"/>
      <c r="AC112" s="59">
        <v>0</v>
      </c>
      <c r="AD112" s="87">
        <v>11.598778126895917</v>
      </c>
      <c r="AE112" s="87">
        <v>23.197556253791834</v>
      </c>
      <c r="AF112" s="88">
        <v>40.595723444135643</v>
      </c>
      <c r="AG112" s="88">
        <v>61.860150010111468</v>
      </c>
      <c r="AH112" s="88">
        <v>135.31907814711877</v>
      </c>
      <c r="AI112" s="88">
        <v>243.57434066481383</v>
      </c>
      <c r="AJ112" s="88">
        <v>108.25526251769497</v>
      </c>
      <c r="AK112" s="88">
        <v>108.25526251769503</v>
      </c>
      <c r="AL112" s="88">
        <v>104.38900314206302</v>
      </c>
      <c r="AM112" s="41">
        <v>35.749658610295562</v>
      </c>
      <c r="AN112" s="41">
        <v>47.189549365590146</v>
      </c>
      <c r="AO112" s="41">
        <v>51.479508398825608</v>
      </c>
      <c r="AP112" s="41">
        <v>55.769467432061084</v>
      </c>
      <c r="AQ112" s="41">
        <v>60.059426465296553</v>
      </c>
      <c r="AR112" s="41">
        <v>75.074283081620692</v>
      </c>
      <c r="AS112" s="41">
        <v>91.519126042356646</v>
      </c>
      <c r="AT112" s="41">
        <v>170.16837498500689</v>
      </c>
      <c r="AU112" s="41">
        <v>270.26741909383446</v>
      </c>
      <c r="AV112" s="41">
        <v>120.11885293059309</v>
      </c>
      <c r="AW112" s="41">
        <v>120.11885293059309</v>
      </c>
      <c r="AX112" s="41">
        <v>115.8288938973576</v>
      </c>
      <c r="AY112" s="77">
        <v>36.98678536337335</v>
      </c>
      <c r="AZ112" s="77">
        <v>48.822556679652813</v>
      </c>
      <c r="BA112" s="77">
        <v>53.260970923257609</v>
      </c>
      <c r="BB112" s="77">
        <v>46.603349557850407</v>
      </c>
      <c r="BC112" s="77">
        <v>39.945728192443205</v>
      </c>
      <c r="BD112" s="77">
        <v>31.068899705233605</v>
      </c>
      <c r="BE112" s="41">
        <v>29.58942829069867</v>
      </c>
      <c r="BF112" s="41">
        <v>41.42519960697814</v>
      </c>
      <c r="BG112" s="77">
        <v>46.603349557850422</v>
      </c>
      <c r="BH112" s="77">
        <v>11.83577131627947</v>
      </c>
      <c r="BI112" s="77">
        <v>5.1781499508722675</v>
      </c>
      <c r="BJ112" s="77">
        <v>0</v>
      </c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50">
        <v>2441.708757202241</v>
      </c>
      <c r="BX112" s="60">
        <f>'48hr SPS '!$AZ$53</f>
        <v>15.757379999999998</v>
      </c>
      <c r="BY112" s="57">
        <f t="shared" si="48"/>
        <v>2457.466137202241</v>
      </c>
      <c r="BZ112">
        <v>60</v>
      </c>
      <c r="CA112" t="s">
        <v>308</v>
      </c>
      <c r="CB112">
        <v>5390.5829547385783</v>
      </c>
      <c r="CC112" t="s">
        <v>980</v>
      </c>
    </row>
    <row r="113" spans="1:81">
      <c r="A113" s="57">
        <f>'24hr SPS'!A113</f>
        <v>60</v>
      </c>
      <c r="B113" s="57"/>
      <c r="C113" s="69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77"/>
      <c r="AB113" s="41"/>
      <c r="AC113" s="59"/>
      <c r="AD113" s="87">
        <v>0</v>
      </c>
      <c r="AE113" s="87">
        <v>11.598778126895917</v>
      </c>
      <c r="AF113" s="88">
        <v>27.063815629423807</v>
      </c>
      <c r="AG113" s="88">
        <v>46.395112507583583</v>
      </c>
      <c r="AH113" s="88">
        <v>108.25526251769509</v>
      </c>
      <c r="AI113" s="88">
        <v>202.97861722067813</v>
      </c>
      <c r="AJ113" s="88">
        <v>92.790225015167167</v>
      </c>
      <c r="AK113" s="88">
        <v>94.723354702983116</v>
      </c>
      <c r="AL113" s="88">
        <v>92.790225015167167</v>
      </c>
      <c r="AM113" s="41">
        <v>32.174692749266001</v>
      </c>
      <c r="AN113" s="41">
        <v>42.899590332354677</v>
      </c>
      <c r="AO113" s="41">
        <v>47.189549365590146</v>
      </c>
      <c r="AP113" s="41">
        <v>51.479508398825608</v>
      </c>
      <c r="AQ113" s="41">
        <v>55.769467432061084</v>
      </c>
      <c r="AR113" s="41">
        <v>70.069330876179308</v>
      </c>
      <c r="AS113" s="41">
        <v>85.799180664709354</v>
      </c>
      <c r="AT113" s="41">
        <v>160.15847057412412</v>
      </c>
      <c r="AU113" s="41">
        <v>255.25256247751034</v>
      </c>
      <c r="AV113" s="41">
        <v>102.95901679765123</v>
      </c>
      <c r="AW113" s="41">
        <v>105.10399631426895</v>
      </c>
      <c r="AX113" s="41">
        <v>102.95901679765122</v>
      </c>
      <c r="AY113" s="77">
        <v>33.28810682703601</v>
      </c>
      <c r="AZ113" s="77">
        <v>44.384142436048009</v>
      </c>
      <c r="BA113" s="77">
        <v>48.822556679652813</v>
      </c>
      <c r="BB113" s="77">
        <v>53.260970923257609</v>
      </c>
      <c r="BC113" s="77">
        <v>46.603349557850407</v>
      </c>
      <c r="BD113" s="77">
        <v>46.603349557850407</v>
      </c>
      <c r="BE113" s="41">
        <v>35.507313948838409</v>
      </c>
      <c r="BF113" s="41">
        <v>51.781499508722675</v>
      </c>
      <c r="BG113" s="77">
        <v>62.137799410467217</v>
      </c>
      <c r="BH113" s="77">
        <v>17.753656974419204</v>
      </c>
      <c r="BI113" s="77">
        <v>10.356299901744535</v>
      </c>
      <c r="BJ113" s="77">
        <v>4.4384142436048002</v>
      </c>
      <c r="BK113" s="77">
        <v>0</v>
      </c>
      <c r="BL113" s="77"/>
      <c r="BM113" s="77"/>
      <c r="BN113" s="77"/>
      <c r="BO113" s="77"/>
      <c r="BP113" s="77"/>
      <c r="BQ113" s="77"/>
      <c r="BR113" s="77"/>
      <c r="BS113" s="77"/>
      <c r="BT113" s="77"/>
      <c r="BU113" s="77"/>
      <c r="BV113" s="77"/>
      <c r="BW113" s="50">
        <v>2243.3472334852781</v>
      </c>
      <c r="BX113" s="60">
        <f>'48hr SPS '!$AZ$53</f>
        <v>15.757379999999998</v>
      </c>
      <c r="BY113" s="57">
        <f t="shared" si="48"/>
        <v>2259.1046134852782</v>
      </c>
      <c r="BZ113">
        <v>61</v>
      </c>
      <c r="CA113" t="s">
        <v>309</v>
      </c>
      <c r="CB113">
        <v>5390.5829547385783</v>
      </c>
      <c r="CC113" t="s">
        <v>980</v>
      </c>
    </row>
    <row r="114" spans="1:81">
      <c r="A114" s="57">
        <f>'24hr SPS'!A114</f>
        <v>61</v>
      </c>
      <c r="B114" s="57"/>
      <c r="C114" s="69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77"/>
      <c r="AB114" s="41"/>
      <c r="AC114" s="59"/>
      <c r="AD114" s="87"/>
      <c r="AE114" s="87">
        <v>0</v>
      </c>
      <c r="AF114" s="88">
        <v>13.531907814711904</v>
      </c>
      <c r="AG114" s="88">
        <v>30.930075005055773</v>
      </c>
      <c r="AH114" s="88">
        <v>81.191446888271287</v>
      </c>
      <c r="AI114" s="88">
        <v>162.38289377654263</v>
      </c>
      <c r="AJ114" s="88">
        <v>77.325187512639275</v>
      </c>
      <c r="AK114" s="88">
        <v>81.191446888271287</v>
      </c>
      <c r="AL114" s="88">
        <v>81.191446888271244</v>
      </c>
      <c r="AM114" s="41">
        <v>28.599726888236454</v>
      </c>
      <c r="AN114" s="41">
        <v>38.609631299119201</v>
      </c>
      <c r="AO114" s="41">
        <v>42.899590332354677</v>
      </c>
      <c r="AP114" s="41">
        <v>47.189549365590146</v>
      </c>
      <c r="AQ114" s="41">
        <v>51.479508398825608</v>
      </c>
      <c r="AR114" s="41">
        <v>65.064378670737938</v>
      </c>
      <c r="AS114" s="41">
        <v>80.079235287062076</v>
      </c>
      <c r="AT114" s="41">
        <v>150.14856616324138</v>
      </c>
      <c r="AU114" s="41">
        <v>240.23770586118621</v>
      </c>
      <c r="AV114" s="41">
        <v>97.239071420003938</v>
      </c>
      <c r="AW114" s="41">
        <v>90.089139697944816</v>
      </c>
      <c r="AX114" s="41">
        <v>90.089139697944816</v>
      </c>
      <c r="AY114" s="77">
        <v>29.589428290698681</v>
      </c>
      <c r="AZ114" s="77">
        <v>39.945728192443205</v>
      </c>
      <c r="BA114" s="77">
        <v>44.384142436048009</v>
      </c>
      <c r="BB114" s="77">
        <v>48.822556679652813</v>
      </c>
      <c r="BC114" s="77">
        <v>53.260970923257609</v>
      </c>
      <c r="BD114" s="77">
        <v>54.370574484158809</v>
      </c>
      <c r="BE114" s="41">
        <v>53.260970923257617</v>
      </c>
      <c r="BF114" s="41">
        <v>62.13779941046721</v>
      </c>
      <c r="BG114" s="77">
        <v>77.672249263084026</v>
      </c>
      <c r="BH114" s="77">
        <v>23.671542632558939</v>
      </c>
      <c r="BI114" s="77">
        <v>15.534449852616802</v>
      </c>
      <c r="BJ114" s="77">
        <v>8.8768284872096004</v>
      </c>
      <c r="BK114" s="77">
        <v>6.5201354570757957</v>
      </c>
      <c r="BL114" s="77">
        <v>0</v>
      </c>
      <c r="BM114" s="77"/>
      <c r="BN114" s="77"/>
      <c r="BO114" s="77"/>
      <c r="BP114" s="77"/>
      <c r="BQ114" s="77"/>
      <c r="BR114" s="77"/>
      <c r="BS114" s="77"/>
      <c r="BT114" s="77"/>
      <c r="BU114" s="77"/>
      <c r="BV114" s="77"/>
      <c r="BW114" s="50">
        <v>2067.5170248885397</v>
      </c>
      <c r="BX114" s="60">
        <f>'48hr SPS '!$AZ$53</f>
        <v>15.757379999999998</v>
      </c>
      <c r="BY114" s="57">
        <f t="shared" si="48"/>
        <v>2083.2744048885397</v>
      </c>
      <c r="BZ114">
        <v>62</v>
      </c>
      <c r="CA114" t="s">
        <v>310</v>
      </c>
      <c r="CB114">
        <v>5390.5829547385783</v>
      </c>
      <c r="CC114" t="s">
        <v>980</v>
      </c>
    </row>
    <row r="115" spans="1:81">
      <c r="A115" s="57">
        <f>'24hr SPS'!A115</f>
        <v>62</v>
      </c>
      <c r="B115" s="57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77"/>
      <c r="AB115" s="41"/>
      <c r="AC115" s="59"/>
      <c r="AD115" s="87"/>
      <c r="AE115" s="87"/>
      <c r="AF115" s="88">
        <v>0</v>
      </c>
      <c r="AG115" s="88">
        <v>15.465037502527887</v>
      </c>
      <c r="AH115" s="88">
        <v>54.127631258847615</v>
      </c>
      <c r="AI115" s="88">
        <v>121.78717033240692</v>
      </c>
      <c r="AJ115" s="88">
        <v>61.860150010111468</v>
      </c>
      <c r="AK115" s="88">
        <v>67.659539073559387</v>
      </c>
      <c r="AL115" s="88">
        <v>69.592668761375393</v>
      </c>
      <c r="AM115" s="41">
        <v>25.024761027206889</v>
      </c>
      <c r="AN115" s="41">
        <v>34.319672265883746</v>
      </c>
      <c r="AO115" s="41">
        <v>38.609631299119201</v>
      </c>
      <c r="AP115" s="41">
        <v>42.899590332354677</v>
      </c>
      <c r="AQ115" s="41">
        <v>47.189549365590146</v>
      </c>
      <c r="AR115" s="41">
        <v>60.059426465296546</v>
      </c>
      <c r="AS115" s="41">
        <v>74.359289909414784</v>
      </c>
      <c r="AT115" s="41">
        <v>140.13866175235862</v>
      </c>
      <c r="AU115" s="41">
        <v>225.22284924486206</v>
      </c>
      <c r="AV115" s="41">
        <v>91.519126042356646</v>
      </c>
      <c r="AW115" s="41">
        <v>85.084187492503446</v>
      </c>
      <c r="AX115" s="41">
        <v>77.219262598238416</v>
      </c>
      <c r="AY115" s="77">
        <v>25.890749754361345</v>
      </c>
      <c r="AZ115" s="77">
        <v>35.507313948838409</v>
      </c>
      <c r="BA115" s="77">
        <v>39.945728192443205</v>
      </c>
      <c r="BB115" s="77">
        <v>44.384142436048009</v>
      </c>
      <c r="BC115" s="77">
        <v>48.822556679652813</v>
      </c>
      <c r="BD115" s="77">
        <v>62.13779941046721</v>
      </c>
      <c r="BE115" s="41">
        <v>62.137799410467217</v>
      </c>
      <c r="BF115" s="41">
        <v>93.206699115700815</v>
      </c>
      <c r="BG115" s="77">
        <v>93.206699115700843</v>
      </c>
      <c r="BH115" s="77">
        <v>29.58942829069867</v>
      </c>
      <c r="BI115" s="77">
        <v>20.71259980348907</v>
      </c>
      <c r="BJ115" s="77">
        <v>13.315242730814402</v>
      </c>
      <c r="BK115" s="77">
        <v>13.040270914151591</v>
      </c>
      <c r="BL115" s="77">
        <v>7.8241625484909552</v>
      </c>
      <c r="BM115" s="77">
        <v>0</v>
      </c>
      <c r="BN115" s="77"/>
      <c r="BO115" s="77"/>
      <c r="BP115" s="77"/>
      <c r="BQ115" s="77"/>
      <c r="BR115" s="77"/>
      <c r="BS115" s="77"/>
      <c r="BT115" s="77"/>
      <c r="BU115" s="77"/>
      <c r="BV115" s="77"/>
      <c r="BW115" s="50">
        <v>1921.8593970853383</v>
      </c>
      <c r="BX115" s="60">
        <f>'48hr SPS '!$AZ$53</f>
        <v>15.757379999999998</v>
      </c>
      <c r="BY115" s="57">
        <f t="shared" si="48"/>
        <v>1937.6167770853383</v>
      </c>
      <c r="BZ115">
        <v>63</v>
      </c>
      <c r="CA115" t="s">
        <v>311</v>
      </c>
      <c r="CB115">
        <v>5390.5829547385783</v>
      </c>
      <c r="CC115" t="s">
        <v>980</v>
      </c>
    </row>
    <row r="116" spans="1:81">
      <c r="A116" s="57">
        <f>'24hr SPS'!A116</f>
        <v>63</v>
      </c>
      <c r="B116" s="57"/>
      <c r="C116" s="69"/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A116" s="77"/>
      <c r="AB116" s="41"/>
      <c r="AC116" s="59"/>
      <c r="AD116" s="87"/>
      <c r="AE116" s="87"/>
      <c r="AF116" s="88"/>
      <c r="AG116" s="88">
        <v>0</v>
      </c>
      <c r="AH116" s="88">
        <v>27.063815629423807</v>
      </c>
      <c r="AI116" s="88">
        <v>81.191446888271415</v>
      </c>
      <c r="AJ116" s="88">
        <v>46.395112507583583</v>
      </c>
      <c r="AK116" s="88">
        <v>54.127631258847543</v>
      </c>
      <c r="AL116" s="88">
        <v>57.99389063447947</v>
      </c>
      <c r="AM116" s="41">
        <v>21.449795166177346</v>
      </c>
      <c r="AN116" s="41">
        <v>30.02971323264827</v>
      </c>
      <c r="AO116" s="41">
        <v>34.319672265883746</v>
      </c>
      <c r="AP116" s="41">
        <v>38.609631299119201</v>
      </c>
      <c r="AQ116" s="41">
        <v>42.899590332354677</v>
      </c>
      <c r="AR116" s="41">
        <v>55.054474259855169</v>
      </c>
      <c r="AS116" s="41">
        <v>68.639344531767478</v>
      </c>
      <c r="AT116" s="41">
        <v>130.12875734147588</v>
      </c>
      <c r="AU116" s="41">
        <v>210.20799262853794</v>
      </c>
      <c r="AV116" s="41">
        <v>85.799180664709354</v>
      </c>
      <c r="AW116" s="41">
        <v>80.079235287062062</v>
      </c>
      <c r="AX116" s="41">
        <v>72.929303565002954</v>
      </c>
      <c r="AY116" s="77">
        <v>22.192071218024012</v>
      </c>
      <c r="AZ116" s="77">
        <v>31.068899705233608</v>
      </c>
      <c r="BA116" s="77">
        <v>35.507313948838409</v>
      </c>
      <c r="BB116" s="77">
        <v>39.945728192443205</v>
      </c>
      <c r="BC116" s="77">
        <v>44.384142436048009</v>
      </c>
      <c r="BD116" s="77">
        <v>56.959649459594949</v>
      </c>
      <c r="BE116" s="41">
        <v>71.014627897676817</v>
      </c>
      <c r="BF116" s="41">
        <v>108.74114896831762</v>
      </c>
      <c r="BG116" s="77">
        <v>139.81004867355125</v>
      </c>
      <c r="BH116" s="77">
        <v>35.507313948838409</v>
      </c>
      <c r="BI116" s="77">
        <v>25.890749754361337</v>
      </c>
      <c r="BJ116" s="77">
        <v>17.753656974419201</v>
      </c>
      <c r="BK116" s="77">
        <v>19.560406371227387</v>
      </c>
      <c r="BL116" s="77">
        <v>15.64832509698191</v>
      </c>
      <c r="BM116" s="77">
        <v>7.8241625484909552</v>
      </c>
      <c r="BN116" s="77">
        <v>0</v>
      </c>
      <c r="BO116" s="77"/>
      <c r="BP116" s="77"/>
      <c r="BQ116" s="77"/>
      <c r="BR116" s="77"/>
      <c r="BS116" s="77"/>
      <c r="BT116" s="77"/>
      <c r="BU116" s="77"/>
      <c r="BV116" s="77"/>
      <c r="BW116" s="50">
        <v>1808.726832687247</v>
      </c>
      <c r="BX116" s="60">
        <f>'48hr SPS '!$AZ$53</f>
        <v>15.757379999999998</v>
      </c>
      <c r="BY116" s="57">
        <f t="shared" si="48"/>
        <v>1824.484212687247</v>
      </c>
      <c r="BZ116">
        <v>64</v>
      </c>
      <c r="CA116" t="s">
        <v>312</v>
      </c>
      <c r="CB116">
        <v>5390.5829547385783</v>
      </c>
      <c r="CC116" t="s">
        <v>980</v>
      </c>
    </row>
    <row r="117" spans="1:81">
      <c r="A117" s="57">
        <f>'24hr SPS'!A117</f>
        <v>64</v>
      </c>
      <c r="B117" s="57"/>
      <c r="C117" s="69"/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69"/>
      <c r="Z117" s="69"/>
      <c r="AA117" s="77"/>
      <c r="AB117" s="41"/>
      <c r="AC117" s="59"/>
      <c r="AD117" s="87"/>
      <c r="AE117" s="87"/>
      <c r="AF117" s="88"/>
      <c r="AG117" s="88"/>
      <c r="AH117" s="88">
        <v>0</v>
      </c>
      <c r="AI117" s="88">
        <v>40.595723444135707</v>
      </c>
      <c r="AJ117" s="88">
        <v>30.930075005055773</v>
      </c>
      <c r="AK117" s="88">
        <v>40.595723444135643</v>
      </c>
      <c r="AL117" s="88">
        <v>46.395112507583612</v>
      </c>
      <c r="AM117" s="41">
        <v>17.874829305147781</v>
      </c>
      <c r="AN117" s="41">
        <v>25.739754199412815</v>
      </c>
      <c r="AO117" s="41">
        <v>30.02971323264827</v>
      </c>
      <c r="AP117" s="41">
        <v>34.319672265883746</v>
      </c>
      <c r="AQ117" s="41">
        <v>38.609631299119201</v>
      </c>
      <c r="AR117" s="41">
        <v>50.049522054413792</v>
      </c>
      <c r="AS117" s="41">
        <v>62.919399154120192</v>
      </c>
      <c r="AT117" s="41">
        <v>120.11885293059309</v>
      </c>
      <c r="AU117" s="41">
        <v>195.19313601221381</v>
      </c>
      <c r="AV117" s="41">
        <v>80.079235287062076</v>
      </c>
      <c r="AW117" s="41">
        <v>75.074283081620692</v>
      </c>
      <c r="AX117" s="41">
        <v>68.639344531767478</v>
      </c>
      <c r="AY117" s="77">
        <v>20.959178372578233</v>
      </c>
      <c r="AZ117" s="77">
        <v>26.630485461628808</v>
      </c>
      <c r="BA117" s="77">
        <v>31.068899705233608</v>
      </c>
      <c r="BB117" s="77">
        <v>35.507313948838409</v>
      </c>
      <c r="BC117" s="77">
        <v>39.945728192443205</v>
      </c>
      <c r="BD117" s="77">
        <v>51.781499508722682</v>
      </c>
      <c r="BE117" s="41">
        <v>65.096742239537093</v>
      </c>
      <c r="BF117" s="41">
        <v>124.27559882093442</v>
      </c>
      <c r="BG117" s="77">
        <v>163.11172345247647</v>
      </c>
      <c r="BH117" s="77">
        <v>53.260970923257617</v>
      </c>
      <c r="BI117" s="77">
        <v>31.068899705233605</v>
      </c>
      <c r="BJ117" s="77">
        <v>22.192071218024001</v>
      </c>
      <c r="BK117" s="77">
        <v>26.080541828303183</v>
      </c>
      <c r="BL117" s="77">
        <v>23.472487645472867</v>
      </c>
      <c r="BM117" s="77">
        <v>15.64832509698191</v>
      </c>
      <c r="BN117" s="77">
        <v>7.8241625484909552</v>
      </c>
      <c r="BO117" s="77">
        <v>0</v>
      </c>
      <c r="BP117" s="77"/>
      <c r="BQ117" s="77"/>
      <c r="BR117" s="77"/>
      <c r="BS117" s="77"/>
      <c r="BT117" s="77"/>
      <c r="BU117" s="77"/>
      <c r="BV117" s="77"/>
      <c r="BW117" s="50">
        <v>1695.088636423071</v>
      </c>
      <c r="BX117" s="60">
        <f>'48hr SPS '!$AZ$53</f>
        <v>15.757379999999998</v>
      </c>
      <c r="BY117" s="57">
        <f t="shared" si="48"/>
        <v>1710.846016423071</v>
      </c>
      <c r="BZ117">
        <v>65</v>
      </c>
      <c r="CA117" t="s">
        <v>313</v>
      </c>
      <c r="CB117">
        <v>5390.5829547385783</v>
      </c>
      <c r="CC117" t="s">
        <v>980</v>
      </c>
    </row>
    <row r="118" spans="1:81">
      <c r="A118" s="57">
        <f>'24hr SPS'!A118</f>
        <v>65</v>
      </c>
      <c r="B118" s="57"/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77"/>
      <c r="AB118" s="41"/>
      <c r="AC118" s="59"/>
      <c r="AD118" s="87"/>
      <c r="AE118" s="87"/>
      <c r="AF118" s="88"/>
      <c r="AG118" s="88"/>
      <c r="AH118" s="88"/>
      <c r="AI118" s="88">
        <v>0</v>
      </c>
      <c r="AJ118" s="88">
        <v>15.465037502527887</v>
      </c>
      <c r="AK118" s="88">
        <v>27.063815629423807</v>
      </c>
      <c r="AL118" s="88">
        <v>34.796334380687696</v>
      </c>
      <c r="AM118" s="41">
        <v>14.299863444118236</v>
      </c>
      <c r="AN118" s="41">
        <v>21.449795166177339</v>
      </c>
      <c r="AO118" s="41">
        <v>25.739754199412815</v>
      </c>
      <c r="AP118" s="41">
        <v>30.02971323264827</v>
      </c>
      <c r="AQ118" s="41">
        <v>34.319672265883746</v>
      </c>
      <c r="AR118" s="41">
        <v>45.044569848972401</v>
      </c>
      <c r="AS118" s="41">
        <v>57.199453776472907</v>
      </c>
      <c r="AT118" s="41">
        <v>110.10894851971034</v>
      </c>
      <c r="AU118" s="41">
        <v>180.17827939588963</v>
      </c>
      <c r="AV118" s="41">
        <v>74.359289909414784</v>
      </c>
      <c r="AW118" s="41">
        <v>70.069330876179308</v>
      </c>
      <c r="AX118" s="41">
        <v>64.349385498532016</v>
      </c>
      <c r="AY118" s="77">
        <v>19.726285527132454</v>
      </c>
      <c r="AZ118" s="77">
        <v>25.151014047093874</v>
      </c>
      <c r="BA118" s="77">
        <v>26.630485461628808</v>
      </c>
      <c r="BB118" s="77">
        <v>31.068899705233608</v>
      </c>
      <c r="BC118" s="77">
        <v>35.507313948838409</v>
      </c>
      <c r="BD118" s="77">
        <v>46.603349557850407</v>
      </c>
      <c r="BE118" s="41">
        <v>59.178856581397355</v>
      </c>
      <c r="BF118" s="41">
        <v>113.9192989191899</v>
      </c>
      <c r="BG118" s="77">
        <v>186.41339823140169</v>
      </c>
      <c r="BH118" s="77">
        <v>62.137799410467217</v>
      </c>
      <c r="BI118" s="77">
        <v>46.603349557850407</v>
      </c>
      <c r="BJ118" s="77">
        <v>26.630485461628805</v>
      </c>
      <c r="BK118" s="77">
        <v>32.600677285378978</v>
      </c>
      <c r="BL118" s="77">
        <v>31.296650193963821</v>
      </c>
      <c r="BM118" s="77">
        <v>23.472487645472867</v>
      </c>
      <c r="BN118" s="77">
        <v>15.64832509698191</v>
      </c>
      <c r="BO118" s="77">
        <v>7.8241625484909552</v>
      </c>
      <c r="BP118" s="77">
        <v>0</v>
      </c>
      <c r="BQ118" s="77"/>
      <c r="BR118" s="77"/>
      <c r="BS118" s="77"/>
      <c r="BT118" s="77"/>
      <c r="BU118" s="77"/>
      <c r="BV118" s="77"/>
      <c r="BW118" s="50">
        <v>1594.8860828260524</v>
      </c>
      <c r="BX118" s="60">
        <f>'48hr SPS '!$AZ$53</f>
        <v>15.757379999999998</v>
      </c>
      <c r="BY118" s="57">
        <f t="shared" si="48"/>
        <v>1610.6434628260524</v>
      </c>
      <c r="BZ118">
        <v>66</v>
      </c>
      <c r="CA118" t="s">
        <v>314</v>
      </c>
      <c r="CB118">
        <v>5390.5829547385783</v>
      </c>
      <c r="CC118" t="s">
        <v>980</v>
      </c>
    </row>
    <row r="119" spans="1:81">
      <c r="A119" s="57">
        <f>'24hr SPS'!A119</f>
        <v>66</v>
      </c>
      <c r="B119" s="57"/>
      <c r="C119" s="69"/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A119" s="77"/>
      <c r="AB119" s="41"/>
      <c r="AC119" s="59"/>
      <c r="AD119" s="87"/>
      <c r="AE119" s="87"/>
      <c r="AF119" s="88"/>
      <c r="AG119" s="88"/>
      <c r="AH119" s="88"/>
      <c r="AI119" s="88"/>
      <c r="AJ119" s="88">
        <v>0</v>
      </c>
      <c r="AK119" s="88">
        <v>13.531907814711904</v>
      </c>
      <c r="AL119" s="88">
        <v>23.197556253791834</v>
      </c>
      <c r="AM119" s="41">
        <v>10.724897583088673</v>
      </c>
      <c r="AN119" s="41">
        <v>17.159836132941884</v>
      </c>
      <c r="AO119" s="41">
        <v>21.449795166177339</v>
      </c>
      <c r="AP119" s="41">
        <v>25.739754199412815</v>
      </c>
      <c r="AQ119" s="41">
        <v>30.02971323264827</v>
      </c>
      <c r="AR119" s="41">
        <v>40.039617643531038</v>
      </c>
      <c r="AS119" s="41">
        <v>51.479508398825608</v>
      </c>
      <c r="AT119" s="41">
        <v>100.09904410882758</v>
      </c>
      <c r="AU119" s="41">
        <v>165.16342277956551</v>
      </c>
      <c r="AV119" s="41">
        <v>68.639344531767478</v>
      </c>
      <c r="AW119" s="41">
        <v>65.064378670737938</v>
      </c>
      <c r="AX119" s="41">
        <v>60.059426465296553</v>
      </c>
      <c r="AY119" s="77">
        <v>18.493392681686675</v>
      </c>
      <c r="AZ119" s="77">
        <v>23.671542632558943</v>
      </c>
      <c r="BA119" s="77">
        <v>25.151014047093874</v>
      </c>
      <c r="BB119" s="77">
        <v>26.630485461628808</v>
      </c>
      <c r="BC119" s="77">
        <v>31.068899705233608</v>
      </c>
      <c r="BD119" s="77">
        <v>41.425199606978147</v>
      </c>
      <c r="BE119" s="41">
        <v>53.260970923257617</v>
      </c>
      <c r="BF119" s="41">
        <v>103.56299901744536</v>
      </c>
      <c r="BG119" s="77">
        <v>170.87894837878488</v>
      </c>
      <c r="BH119" s="77">
        <v>71.014627897676817</v>
      </c>
      <c r="BI119" s="77">
        <v>54.370574484158809</v>
      </c>
      <c r="BJ119" s="77">
        <v>39.945728192443205</v>
      </c>
      <c r="BK119" s="77">
        <v>39.120812742454774</v>
      </c>
      <c r="BL119" s="77">
        <v>39.120812742454774</v>
      </c>
      <c r="BM119" s="77">
        <v>31.296650193963821</v>
      </c>
      <c r="BN119" s="77">
        <v>23.472487645472867</v>
      </c>
      <c r="BO119" s="77">
        <v>15.64832509698191</v>
      </c>
      <c r="BP119" s="77">
        <v>9.1281896399061146</v>
      </c>
      <c r="BQ119" s="77">
        <v>0</v>
      </c>
      <c r="BR119" s="77"/>
      <c r="BS119" s="77"/>
      <c r="BT119" s="77"/>
      <c r="BU119" s="77"/>
      <c r="BV119" s="77"/>
      <c r="BW119" s="50">
        <v>1509.6398640715056</v>
      </c>
      <c r="BX119" s="60">
        <f>'48hr SPS '!$AZ$53</f>
        <v>15.757379999999998</v>
      </c>
      <c r="BY119" s="57">
        <f t="shared" si="48"/>
        <v>1525.3972440715056</v>
      </c>
      <c r="BZ119">
        <v>67</v>
      </c>
      <c r="CA119" t="s">
        <v>315</v>
      </c>
      <c r="CB119">
        <v>5390.5829547385783</v>
      </c>
      <c r="CC119" t="s">
        <v>980</v>
      </c>
    </row>
    <row r="120" spans="1:81">
      <c r="A120" s="57">
        <f>'24hr SPS'!A120</f>
        <v>67</v>
      </c>
      <c r="B120" s="57"/>
      <c r="C120" s="69"/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77"/>
      <c r="AB120" s="41"/>
      <c r="AC120" s="59"/>
      <c r="AD120" s="87"/>
      <c r="AE120" s="87"/>
      <c r="AF120" s="88"/>
      <c r="AG120" s="88"/>
      <c r="AH120" s="88"/>
      <c r="AI120" s="88"/>
      <c r="AJ120" s="88"/>
      <c r="AK120" s="88">
        <v>0</v>
      </c>
      <c r="AL120" s="88">
        <v>11.598778126895917</v>
      </c>
      <c r="AM120" s="41">
        <v>7.1499317220591267</v>
      </c>
      <c r="AN120" s="41">
        <v>12.869877099706407</v>
      </c>
      <c r="AO120" s="41">
        <v>17.159836132941884</v>
      </c>
      <c r="AP120" s="41">
        <v>21.449795166177339</v>
      </c>
      <c r="AQ120" s="41">
        <v>25.739754199412815</v>
      </c>
      <c r="AR120" s="41">
        <v>35.034665438089647</v>
      </c>
      <c r="AS120" s="41">
        <v>45.75956302117833</v>
      </c>
      <c r="AT120" s="41">
        <v>90.089139697944802</v>
      </c>
      <c r="AU120" s="41">
        <v>150.14856616324138</v>
      </c>
      <c r="AV120" s="41">
        <v>62.919399154120192</v>
      </c>
      <c r="AW120" s="41">
        <v>60.059426465296546</v>
      </c>
      <c r="AX120" s="41">
        <v>55.769467432061084</v>
      </c>
      <c r="AY120" s="77">
        <v>17.2604998362409</v>
      </c>
      <c r="AZ120" s="77">
        <v>22.192071218024008</v>
      </c>
      <c r="BA120" s="77">
        <v>23.671542632558943</v>
      </c>
      <c r="BB120" s="77">
        <v>25.151014047093874</v>
      </c>
      <c r="BC120" s="77">
        <v>26.630485461628808</v>
      </c>
      <c r="BD120" s="77">
        <v>36.247049656105879</v>
      </c>
      <c r="BE120" s="41">
        <v>47.343085265117885</v>
      </c>
      <c r="BF120" s="41">
        <v>93.206699115700815</v>
      </c>
      <c r="BG120" s="77">
        <v>155.34449852616808</v>
      </c>
      <c r="BH120" s="77">
        <v>65.096742239537093</v>
      </c>
      <c r="BI120" s="77">
        <v>62.13779941046721</v>
      </c>
      <c r="BJ120" s="77">
        <v>46.603349557850407</v>
      </c>
      <c r="BK120" s="77">
        <v>58.681219113682161</v>
      </c>
      <c r="BL120" s="77">
        <v>46.944975290945735</v>
      </c>
      <c r="BM120" s="77">
        <v>39.120812742454774</v>
      </c>
      <c r="BN120" s="77">
        <v>31.296650193963821</v>
      </c>
      <c r="BO120" s="77">
        <v>23.472487645472867</v>
      </c>
      <c r="BP120" s="77">
        <v>18.256379279812229</v>
      </c>
      <c r="BQ120" s="77">
        <v>10.432216731321272</v>
      </c>
      <c r="BR120" s="77">
        <v>0</v>
      </c>
      <c r="BS120" s="77"/>
      <c r="BT120" s="77"/>
      <c r="BU120" s="77"/>
      <c r="BV120" s="77"/>
      <c r="BW120" s="50">
        <v>1444.8377777832723</v>
      </c>
      <c r="BX120" s="60">
        <f>'48hr SPS '!$AZ$53</f>
        <v>15.757379999999998</v>
      </c>
      <c r="BY120" s="57">
        <f t="shared" ref="BY120:BY157" si="49">BW120+BX120</f>
        <v>1460.5951577832723</v>
      </c>
      <c r="BZ120">
        <v>68</v>
      </c>
      <c r="CA120" t="s">
        <v>316</v>
      </c>
      <c r="CB120">
        <v>5390.5829547385783</v>
      </c>
      <c r="CC120" t="s">
        <v>980</v>
      </c>
    </row>
    <row r="121" spans="1:81">
      <c r="A121" s="57">
        <f>'24hr SPS'!A121</f>
        <v>68</v>
      </c>
      <c r="B121" s="57"/>
      <c r="C121" s="69"/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77"/>
      <c r="AB121" s="41"/>
      <c r="AC121" s="59"/>
      <c r="AD121" s="87"/>
      <c r="AE121" s="87"/>
      <c r="AF121" s="88"/>
      <c r="AG121" s="88"/>
      <c r="AH121" s="88"/>
      <c r="AI121" s="88"/>
      <c r="AJ121" s="88"/>
      <c r="AK121" s="88"/>
      <c r="AL121" s="88">
        <v>0</v>
      </c>
      <c r="AM121" s="41">
        <v>3.5749658610295634</v>
      </c>
      <c r="AN121" s="41">
        <v>8.5799180664709525</v>
      </c>
      <c r="AO121" s="41">
        <v>12.869877099706407</v>
      </c>
      <c r="AP121" s="41">
        <v>17.159836132941884</v>
      </c>
      <c r="AQ121" s="41">
        <v>21.449795166177339</v>
      </c>
      <c r="AR121" s="41">
        <v>30.029713232648284</v>
      </c>
      <c r="AS121" s="41">
        <v>40.039617643531031</v>
      </c>
      <c r="AT121" s="41">
        <v>80.079235287062076</v>
      </c>
      <c r="AU121" s="41">
        <v>135.1337095469172</v>
      </c>
      <c r="AV121" s="41">
        <v>57.199453776472907</v>
      </c>
      <c r="AW121" s="41">
        <v>55.054474259855169</v>
      </c>
      <c r="AX121" s="41">
        <v>51.479508398825608</v>
      </c>
      <c r="AY121" s="77">
        <v>16.027606990795121</v>
      </c>
      <c r="AZ121" s="77">
        <v>20.712599803489073</v>
      </c>
      <c r="BA121" s="77">
        <v>22.192071218024008</v>
      </c>
      <c r="BB121" s="77">
        <v>23.671542632558943</v>
      </c>
      <c r="BC121" s="77">
        <v>25.151014047093874</v>
      </c>
      <c r="BD121" s="77">
        <v>31.068899705233612</v>
      </c>
      <c r="BE121" s="41">
        <v>41.425199606978147</v>
      </c>
      <c r="BF121" s="41">
        <v>82.850399213956294</v>
      </c>
      <c r="BG121" s="77">
        <v>139.81004867355125</v>
      </c>
      <c r="BH121" s="77">
        <v>59.178856581397355</v>
      </c>
      <c r="BI121" s="77">
        <v>56.959649459594949</v>
      </c>
      <c r="BJ121" s="77">
        <v>53.260970923257609</v>
      </c>
      <c r="BK121" s="77">
        <v>68.461422299295862</v>
      </c>
      <c r="BL121" s="77">
        <v>70.417462936418602</v>
      </c>
      <c r="BM121" s="77">
        <v>46.944975290945735</v>
      </c>
      <c r="BN121" s="77">
        <v>39.120812742454774</v>
      </c>
      <c r="BO121" s="77">
        <v>31.296650193963821</v>
      </c>
      <c r="BP121" s="77">
        <v>27.384568919718344</v>
      </c>
      <c r="BQ121" s="77">
        <v>20.864433462642545</v>
      </c>
      <c r="BR121" s="77">
        <v>18.256379279812229</v>
      </c>
      <c r="BS121" s="77">
        <v>0</v>
      </c>
      <c r="BT121" s="77"/>
      <c r="BU121" s="77"/>
      <c r="BV121" s="77"/>
      <c r="BW121" s="50">
        <v>1407.7056684528206</v>
      </c>
      <c r="BX121" s="60">
        <f>'48hr SPS '!$AZ$53</f>
        <v>15.757379999999998</v>
      </c>
      <c r="BY121" s="57">
        <f t="shared" si="49"/>
        <v>1423.4630484528207</v>
      </c>
      <c r="BZ121">
        <v>69</v>
      </c>
      <c r="CA121" t="s">
        <v>317</v>
      </c>
      <c r="CB121">
        <v>5390.5829547385783</v>
      </c>
      <c r="CC121" t="s">
        <v>980</v>
      </c>
    </row>
    <row r="122" spans="1:81">
      <c r="A122" s="57">
        <f>'24hr SPS'!A122</f>
        <v>69</v>
      </c>
      <c r="B122" s="57"/>
      <c r="C122" s="69"/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77"/>
      <c r="AB122" s="41"/>
      <c r="AC122" s="59"/>
      <c r="AD122" s="87"/>
      <c r="AE122" s="87"/>
      <c r="AF122" s="88"/>
      <c r="AG122" s="88"/>
      <c r="AH122" s="88"/>
      <c r="AI122" s="88"/>
      <c r="AJ122" s="88"/>
      <c r="AK122" s="88"/>
      <c r="AL122" s="88"/>
      <c r="AM122" s="41">
        <v>0</v>
      </c>
      <c r="AN122" s="41">
        <v>4.2899590332354762</v>
      </c>
      <c r="AO122" s="41">
        <v>8.5799180664709525</v>
      </c>
      <c r="AP122" s="41">
        <v>12.869877099706407</v>
      </c>
      <c r="AQ122" s="41">
        <v>17.159836132941884</v>
      </c>
      <c r="AR122" s="41">
        <v>25.024761027206896</v>
      </c>
      <c r="AS122" s="41">
        <v>34.319672265883753</v>
      </c>
      <c r="AT122" s="41">
        <v>70.069330876179293</v>
      </c>
      <c r="AU122" s="41">
        <v>120.11885293059312</v>
      </c>
      <c r="AV122" s="41">
        <v>51.479508398825608</v>
      </c>
      <c r="AW122" s="41">
        <v>50.049522054413792</v>
      </c>
      <c r="AX122" s="41">
        <v>47.189549365590146</v>
      </c>
      <c r="AY122" s="77">
        <v>14.79471414534934</v>
      </c>
      <c r="AZ122" s="77">
        <v>19.233128388954142</v>
      </c>
      <c r="BA122" s="77">
        <v>20.712599803489073</v>
      </c>
      <c r="BB122" s="77">
        <v>22.192071218024008</v>
      </c>
      <c r="BC122" s="77">
        <v>23.671542632558943</v>
      </c>
      <c r="BD122" s="77">
        <v>29.342849721609522</v>
      </c>
      <c r="BE122" s="41">
        <v>35.507313948838416</v>
      </c>
      <c r="BF122" s="41">
        <v>72.494099312211759</v>
      </c>
      <c r="BG122" s="77">
        <v>124.27559882093446</v>
      </c>
      <c r="BH122" s="77">
        <v>53.260970923257617</v>
      </c>
      <c r="BI122" s="77">
        <v>51.781499508722682</v>
      </c>
      <c r="BJ122" s="77">
        <v>48.822556679652813</v>
      </c>
      <c r="BK122" s="77">
        <v>78.241625484909548</v>
      </c>
      <c r="BL122" s="77">
        <v>82.153706759155028</v>
      </c>
      <c r="BM122" s="77">
        <v>70.417462936418602</v>
      </c>
      <c r="BN122" s="77">
        <v>46.944975290945735</v>
      </c>
      <c r="BO122" s="77">
        <v>39.120812742454774</v>
      </c>
      <c r="BP122" s="77">
        <v>36.512758559624459</v>
      </c>
      <c r="BQ122" s="77">
        <v>31.296650193963817</v>
      </c>
      <c r="BR122" s="77">
        <v>36.512758559624459</v>
      </c>
      <c r="BS122" s="77">
        <v>27.38456891971834</v>
      </c>
      <c r="BT122" s="77">
        <v>0</v>
      </c>
      <c r="BU122" s="77"/>
      <c r="BV122" s="77"/>
      <c r="BW122" s="50">
        <v>1405.8250518014645</v>
      </c>
      <c r="BX122" s="60">
        <f>'48hr SPS '!$AZ$53</f>
        <v>15.757379999999998</v>
      </c>
      <c r="BY122" s="57">
        <f t="shared" si="49"/>
        <v>1421.5824318014645</v>
      </c>
      <c r="BZ122">
        <v>70</v>
      </c>
      <c r="CA122" t="s">
        <v>318</v>
      </c>
      <c r="CB122">
        <v>5390.5829547385783</v>
      </c>
      <c r="CC122" t="s">
        <v>980</v>
      </c>
    </row>
    <row r="123" spans="1:81">
      <c r="A123" s="57">
        <f>'24hr SPS'!A123</f>
        <v>70</v>
      </c>
      <c r="B123" s="57"/>
      <c r="C123" s="69"/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77"/>
      <c r="AB123" s="41"/>
      <c r="AC123" s="59"/>
      <c r="AD123" s="87"/>
      <c r="AE123" s="87"/>
      <c r="AF123" s="88"/>
      <c r="AG123" s="88"/>
      <c r="AH123" s="88"/>
      <c r="AI123" s="88"/>
      <c r="AJ123" s="88"/>
      <c r="AK123" s="88"/>
      <c r="AL123" s="88"/>
      <c r="AM123" s="41"/>
      <c r="AN123" s="41">
        <v>0</v>
      </c>
      <c r="AO123" s="41">
        <v>4.2899590332354762</v>
      </c>
      <c r="AP123" s="41">
        <v>8.5799180664709525</v>
      </c>
      <c r="AQ123" s="41">
        <v>12.869877099706407</v>
      </c>
      <c r="AR123" s="41">
        <v>20.019808821765533</v>
      </c>
      <c r="AS123" s="41">
        <v>28.599726888236454</v>
      </c>
      <c r="AT123" s="41">
        <v>60.059426465296568</v>
      </c>
      <c r="AU123" s="41">
        <v>105.10399631426895</v>
      </c>
      <c r="AV123" s="41">
        <v>45.75956302117833</v>
      </c>
      <c r="AW123" s="41">
        <v>45.044569848972401</v>
      </c>
      <c r="AX123" s="41">
        <v>42.899590332354677</v>
      </c>
      <c r="AY123" s="77">
        <v>13.561821299903562</v>
      </c>
      <c r="AZ123" s="77">
        <v>17.753656974419204</v>
      </c>
      <c r="BA123" s="77">
        <v>19.233128388954142</v>
      </c>
      <c r="BB123" s="77">
        <v>20.712599803489073</v>
      </c>
      <c r="BC123" s="77">
        <v>22.192071218024008</v>
      </c>
      <c r="BD123" s="77">
        <v>27.616799737985435</v>
      </c>
      <c r="BE123" s="41">
        <v>33.53468539612517</v>
      </c>
      <c r="BF123" s="41">
        <v>62.137799410467224</v>
      </c>
      <c r="BG123" s="77">
        <v>108.74114896831765</v>
      </c>
      <c r="BH123" s="77">
        <v>47.343085265117885</v>
      </c>
      <c r="BI123" s="77">
        <v>46.603349557850407</v>
      </c>
      <c r="BJ123" s="77">
        <v>44.384142436048009</v>
      </c>
      <c r="BK123" s="77">
        <v>71.721490027833767</v>
      </c>
      <c r="BL123" s="77">
        <v>93.889950581891469</v>
      </c>
      <c r="BM123" s="77">
        <v>82.153706759155028</v>
      </c>
      <c r="BN123" s="77">
        <v>70.417462936418602</v>
      </c>
      <c r="BO123" s="77">
        <v>46.944975290945735</v>
      </c>
      <c r="BP123" s="77">
        <v>45.64094819953057</v>
      </c>
      <c r="BQ123" s="77">
        <v>41.728866925285089</v>
      </c>
      <c r="BR123" s="77">
        <v>54.769137839436688</v>
      </c>
      <c r="BS123" s="77">
        <v>54.769137839436681</v>
      </c>
      <c r="BT123" s="77">
        <v>10.432216731321272</v>
      </c>
      <c r="BU123" s="77">
        <v>0</v>
      </c>
      <c r="BV123" s="77"/>
      <c r="BW123" s="50">
        <v>1409.5086174794424</v>
      </c>
      <c r="BX123" s="60">
        <f>'48hr SPS '!$AZ$53</f>
        <v>15.757379999999998</v>
      </c>
      <c r="BY123" s="57">
        <f t="shared" si="49"/>
        <v>1425.2659974794424</v>
      </c>
      <c r="BZ123">
        <v>71</v>
      </c>
      <c r="CA123" t="s">
        <v>319</v>
      </c>
      <c r="CB123">
        <v>5390.5829547385783</v>
      </c>
      <c r="CC123" t="s">
        <v>980</v>
      </c>
    </row>
    <row r="124" spans="1:81">
      <c r="A124" s="57">
        <f>'24hr SPS'!A124</f>
        <v>71</v>
      </c>
      <c r="B124" s="57"/>
      <c r="C124" s="69"/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A124" s="77"/>
      <c r="AB124" s="41"/>
      <c r="AC124" s="59"/>
      <c r="AD124" s="87"/>
      <c r="AE124" s="87"/>
      <c r="AF124" s="88"/>
      <c r="AG124" s="88"/>
      <c r="AH124" s="88"/>
      <c r="AI124" s="88"/>
      <c r="AJ124" s="88"/>
      <c r="AK124" s="88"/>
      <c r="AL124" s="88"/>
      <c r="AM124" s="41"/>
      <c r="AN124" s="41"/>
      <c r="AO124" s="41">
        <v>0</v>
      </c>
      <c r="AP124" s="41">
        <v>4.2899590332354762</v>
      </c>
      <c r="AQ124" s="41">
        <v>8.5799180664709525</v>
      </c>
      <c r="AR124" s="41">
        <v>15.014856616324142</v>
      </c>
      <c r="AS124" s="41">
        <v>22.879781510589179</v>
      </c>
      <c r="AT124" s="41">
        <v>50.049522054413792</v>
      </c>
      <c r="AU124" s="41">
        <v>90.089139697944859</v>
      </c>
      <c r="AV124" s="41">
        <v>40.039617643531031</v>
      </c>
      <c r="AW124" s="41">
        <v>40.039617643531038</v>
      </c>
      <c r="AX124" s="41">
        <v>38.609631299119201</v>
      </c>
      <c r="AY124" s="77">
        <v>12.328928454457785</v>
      </c>
      <c r="AZ124" s="77">
        <v>16.274185559884273</v>
      </c>
      <c r="BA124" s="77">
        <v>17.753656974419204</v>
      </c>
      <c r="BB124" s="77">
        <v>19.233128388954142</v>
      </c>
      <c r="BC124" s="77">
        <v>20.712599803489073</v>
      </c>
      <c r="BD124" s="77">
        <v>25.890749754361345</v>
      </c>
      <c r="BE124" s="41">
        <v>31.562056843411924</v>
      </c>
      <c r="BF124" s="41">
        <v>58.685699443219043</v>
      </c>
      <c r="BG124" s="77">
        <v>93.206699115700843</v>
      </c>
      <c r="BH124" s="77">
        <v>41.425199606978147</v>
      </c>
      <c r="BI124" s="77">
        <v>41.425199606978147</v>
      </c>
      <c r="BJ124" s="77">
        <v>39.945728192443205</v>
      </c>
      <c r="BK124" s="77">
        <v>65.201354570757957</v>
      </c>
      <c r="BL124" s="77">
        <v>86.065788033400523</v>
      </c>
      <c r="BM124" s="77">
        <v>93.889950581891469</v>
      </c>
      <c r="BN124" s="77">
        <v>82.153706759155028</v>
      </c>
      <c r="BO124" s="77">
        <v>70.417462936418602</v>
      </c>
      <c r="BP124" s="77">
        <v>54.769137839436688</v>
      </c>
      <c r="BQ124" s="77">
        <v>52.161083656606358</v>
      </c>
      <c r="BR124" s="77">
        <v>73.025517119248917</v>
      </c>
      <c r="BS124" s="77">
        <v>82.153706759155028</v>
      </c>
      <c r="BT124" s="77">
        <v>20.864433462642545</v>
      </c>
      <c r="BU124" s="77">
        <v>9.1281896399061146</v>
      </c>
      <c r="BV124" s="77">
        <v>0</v>
      </c>
      <c r="BW124" s="50">
        <v>1417.8662066680761</v>
      </c>
      <c r="BX124" s="60">
        <f>'48hr SPS '!$AZ$53</f>
        <v>15.757379999999998</v>
      </c>
      <c r="BY124" s="57">
        <f t="shared" si="49"/>
        <v>1433.6235866680761</v>
      </c>
      <c r="BZ124">
        <v>72</v>
      </c>
      <c r="CA124" t="s">
        <v>320</v>
      </c>
      <c r="CB124">
        <v>5390.5829547385783</v>
      </c>
      <c r="CC124" t="s">
        <v>980</v>
      </c>
    </row>
    <row r="125" spans="1:81">
      <c r="A125" s="57">
        <f>'24hr SPS'!A125</f>
        <v>72</v>
      </c>
      <c r="B125" s="57"/>
      <c r="C125" s="69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77"/>
      <c r="AB125" s="41"/>
      <c r="AC125" s="59"/>
      <c r="AD125" s="87"/>
      <c r="AE125" s="87"/>
      <c r="AF125" s="88"/>
      <c r="AG125" s="88"/>
      <c r="AH125" s="88"/>
      <c r="AI125" s="88"/>
      <c r="AJ125" s="88"/>
      <c r="AK125" s="88"/>
      <c r="AL125" s="88"/>
      <c r="AM125" s="41"/>
      <c r="AN125" s="41"/>
      <c r="AO125" s="41"/>
      <c r="AP125" s="41">
        <v>0</v>
      </c>
      <c r="AQ125" s="41">
        <v>4.2899590332354762</v>
      </c>
      <c r="AR125" s="41">
        <v>10.009904410882779</v>
      </c>
      <c r="AS125" s="41">
        <v>17.159836132941876</v>
      </c>
      <c r="AT125" s="41">
        <v>40.039617643531066</v>
      </c>
      <c r="AU125" s="41">
        <v>75.074283081620692</v>
      </c>
      <c r="AV125" s="41">
        <v>34.319672265883753</v>
      </c>
      <c r="AW125" s="41">
        <v>35.034665438089647</v>
      </c>
      <c r="AX125" s="41">
        <v>34.319672265883746</v>
      </c>
      <c r="AY125" s="77">
        <v>11.096035609012004</v>
      </c>
      <c r="AZ125" s="77">
        <v>14.794714145349339</v>
      </c>
      <c r="BA125" s="77">
        <v>16.274185559884273</v>
      </c>
      <c r="BB125" s="77">
        <v>17.753656974419204</v>
      </c>
      <c r="BC125" s="77">
        <v>19.233128388954142</v>
      </c>
      <c r="BD125" s="77">
        <v>24.164699770737254</v>
      </c>
      <c r="BE125" s="41">
        <v>29.589428290698681</v>
      </c>
      <c r="BF125" s="41">
        <v>55.23359947597087</v>
      </c>
      <c r="BG125" s="77">
        <v>88.028549164828576</v>
      </c>
      <c r="BH125" s="77">
        <v>35.507313948838416</v>
      </c>
      <c r="BI125" s="77">
        <v>36.247049656105879</v>
      </c>
      <c r="BJ125" s="77">
        <v>35.507313948838409</v>
      </c>
      <c r="BK125" s="77">
        <v>58.681219113682161</v>
      </c>
      <c r="BL125" s="77">
        <v>78.241625484909562</v>
      </c>
      <c r="BM125" s="77">
        <v>86.065788033400523</v>
      </c>
      <c r="BN125" s="77">
        <v>93.889950581891469</v>
      </c>
      <c r="BO125" s="77">
        <v>82.153706759155028</v>
      </c>
      <c r="BP125" s="77">
        <v>82.153706759155043</v>
      </c>
      <c r="BQ125" s="77">
        <v>62.593300387927634</v>
      </c>
      <c r="BR125" s="77">
        <v>91.281896399061139</v>
      </c>
      <c r="BS125" s="77">
        <v>109.53827567887336</v>
      </c>
      <c r="BT125" s="77">
        <v>31.296650193963817</v>
      </c>
      <c r="BU125" s="77">
        <v>18.256379279812229</v>
      </c>
      <c r="BV125" s="77">
        <v>7.8241625484909552</v>
      </c>
      <c r="BW125" s="50">
        <v>1435.6539464260291</v>
      </c>
      <c r="BX125" s="60">
        <f>'48hr SPS '!$AZ$53</f>
        <v>15.757379999999998</v>
      </c>
      <c r="BY125" s="57">
        <f t="shared" si="49"/>
        <v>1451.4113264260291</v>
      </c>
      <c r="BZ125">
        <v>73</v>
      </c>
      <c r="CA125" t="s">
        <v>321</v>
      </c>
      <c r="CB125">
        <v>5627.3901641479215</v>
      </c>
      <c r="CC125" t="s">
        <v>980</v>
      </c>
    </row>
    <row r="126" spans="1:81">
      <c r="A126" s="57">
        <f>'24hr SPS'!A126</f>
        <v>73</v>
      </c>
      <c r="B126" s="57"/>
      <c r="C126" s="69"/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77"/>
      <c r="AB126" s="41"/>
      <c r="AC126" s="59"/>
      <c r="AD126" s="87"/>
      <c r="AE126" s="87"/>
      <c r="AF126" s="88"/>
      <c r="AG126" s="88"/>
      <c r="AH126" s="88"/>
      <c r="AI126" s="88"/>
      <c r="AJ126" s="88"/>
      <c r="AK126" s="88"/>
      <c r="AL126" s="88"/>
      <c r="AM126" s="41"/>
      <c r="AN126" s="41"/>
      <c r="AO126" s="41"/>
      <c r="AP126" s="41"/>
      <c r="AQ126" s="41">
        <v>0</v>
      </c>
      <c r="AR126" s="41">
        <v>5.0049522054413895</v>
      </c>
      <c r="AS126" s="41">
        <v>11.439890755294604</v>
      </c>
      <c r="AT126" s="41">
        <v>30.029713232648284</v>
      </c>
      <c r="AU126" s="41">
        <v>60.059426465296596</v>
      </c>
      <c r="AV126" s="41">
        <v>28.599726888236454</v>
      </c>
      <c r="AW126" s="41">
        <v>30.029713232648284</v>
      </c>
      <c r="AX126" s="41">
        <v>30.02971323264827</v>
      </c>
      <c r="AY126" s="77">
        <v>9.8631427635662288</v>
      </c>
      <c r="AZ126" s="77">
        <v>13.315242730814402</v>
      </c>
      <c r="BA126" s="77">
        <v>14.794714145349339</v>
      </c>
      <c r="BB126" s="77">
        <v>16.274185559884273</v>
      </c>
      <c r="BC126" s="77">
        <v>17.753656974419204</v>
      </c>
      <c r="BD126" s="77">
        <v>22.438649787113167</v>
      </c>
      <c r="BE126" s="41">
        <v>27.616799737985435</v>
      </c>
      <c r="BF126" s="41">
        <v>51.781499508722689</v>
      </c>
      <c r="BG126" s="77">
        <v>82.850399213956308</v>
      </c>
      <c r="BH126" s="77">
        <v>33.53468539612517</v>
      </c>
      <c r="BI126" s="77">
        <v>31.068899705233612</v>
      </c>
      <c r="BJ126" s="77">
        <v>31.068899705233608</v>
      </c>
      <c r="BK126" s="77">
        <v>52.161083656606372</v>
      </c>
      <c r="BL126" s="77">
        <v>70.417462936418602</v>
      </c>
      <c r="BM126" s="77">
        <v>78.241625484909562</v>
      </c>
      <c r="BN126" s="77">
        <v>86.065788033400523</v>
      </c>
      <c r="BO126" s="77">
        <v>93.889950581891469</v>
      </c>
      <c r="BP126" s="77">
        <v>95.845991219014209</v>
      </c>
      <c r="BQ126" s="77">
        <v>93.889950581891455</v>
      </c>
      <c r="BR126" s="77">
        <v>109.53827567887338</v>
      </c>
      <c r="BS126" s="77">
        <v>136.92284459859169</v>
      </c>
      <c r="BT126" s="77">
        <v>41.728866925285089</v>
      </c>
      <c r="BU126" s="77">
        <v>27.384568919718344</v>
      </c>
      <c r="BV126" s="77">
        <v>15.64832509698191</v>
      </c>
      <c r="BW126" s="50">
        <v>1449.2886449541998</v>
      </c>
      <c r="BX126" s="60">
        <f>'48hr SPS '!$AZ$53</f>
        <v>15.757379999999998</v>
      </c>
      <c r="BY126" s="57">
        <f t="shared" si="49"/>
        <v>1465.0460249541998</v>
      </c>
      <c r="BZ126">
        <v>74</v>
      </c>
      <c r="CA126" t="s">
        <v>322</v>
      </c>
      <c r="CB126">
        <v>5627.3901641479215</v>
      </c>
      <c r="CC126" t="s">
        <v>980</v>
      </c>
    </row>
    <row r="127" spans="1:81">
      <c r="A127" s="57">
        <f>'24hr SPS'!A127</f>
        <v>74</v>
      </c>
      <c r="B127" s="57"/>
      <c r="C127" s="69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Z127" s="69"/>
      <c r="AA127" s="77"/>
      <c r="AB127" s="41"/>
      <c r="AC127" s="59"/>
      <c r="AD127" s="87"/>
      <c r="AE127" s="87"/>
      <c r="AF127" s="88"/>
      <c r="AG127" s="88"/>
      <c r="AH127" s="88"/>
      <c r="AI127" s="88"/>
      <c r="AJ127" s="88"/>
      <c r="AK127" s="88"/>
      <c r="AL127" s="88"/>
      <c r="AM127" s="41"/>
      <c r="AN127" s="41"/>
      <c r="AO127" s="41"/>
      <c r="AP127" s="41"/>
      <c r="AQ127" s="41"/>
      <c r="AR127" s="41">
        <v>0</v>
      </c>
      <c r="AS127" s="41">
        <v>5.7199453776473019</v>
      </c>
      <c r="AT127" s="41">
        <v>20.019808821765558</v>
      </c>
      <c r="AU127" s="41">
        <v>45.044569848972429</v>
      </c>
      <c r="AV127" s="41">
        <v>22.879781510589179</v>
      </c>
      <c r="AW127" s="41">
        <v>25.024761027206896</v>
      </c>
      <c r="AX127" s="41">
        <v>25.739754199412815</v>
      </c>
      <c r="AY127" s="77">
        <v>8.6302499181204482</v>
      </c>
      <c r="AZ127" s="77">
        <v>11.835771316279473</v>
      </c>
      <c r="BA127" s="77">
        <v>13.315242730814402</v>
      </c>
      <c r="BB127" s="77">
        <v>14.794714145349339</v>
      </c>
      <c r="BC127" s="77">
        <v>16.274185559884273</v>
      </c>
      <c r="BD127" s="77">
        <v>20.712599803489073</v>
      </c>
      <c r="BE127" s="41">
        <v>25.644171185272192</v>
      </c>
      <c r="BF127" s="41">
        <v>48.329399541474508</v>
      </c>
      <c r="BG127" s="77">
        <v>77.672249263084041</v>
      </c>
      <c r="BH127" s="77">
        <v>31.562056843411924</v>
      </c>
      <c r="BI127" s="77">
        <v>29.342849721609522</v>
      </c>
      <c r="BJ127" s="77">
        <v>26.630485461628808</v>
      </c>
      <c r="BK127" s="77">
        <v>45.640948199530577</v>
      </c>
      <c r="BL127" s="77">
        <v>62.593300387927655</v>
      </c>
      <c r="BM127" s="77">
        <v>70.417462936418602</v>
      </c>
      <c r="BN127" s="77">
        <v>78.241625484909562</v>
      </c>
      <c r="BO127" s="77">
        <v>86.065788033400523</v>
      </c>
      <c r="BP127" s="77">
        <v>109.53827567887338</v>
      </c>
      <c r="BQ127" s="77">
        <v>109.53827567887336</v>
      </c>
      <c r="BR127" s="77">
        <v>164.30741351831009</v>
      </c>
      <c r="BS127" s="77">
        <v>164.30741351831006</v>
      </c>
      <c r="BT127" s="77">
        <v>52.161083656606358</v>
      </c>
      <c r="BU127" s="77">
        <v>36.512758559624459</v>
      </c>
      <c r="BV127" s="77">
        <v>23.472487645472867</v>
      </c>
      <c r="BW127" s="50">
        <v>1471.9694295742697</v>
      </c>
      <c r="BX127" s="60">
        <f>'48hr SPS '!$AZ$53</f>
        <v>15.757379999999998</v>
      </c>
      <c r="BY127" s="57">
        <f t="shared" si="49"/>
        <v>1487.7268095742697</v>
      </c>
      <c r="BZ127">
        <v>75</v>
      </c>
      <c r="CA127" t="s">
        <v>323</v>
      </c>
      <c r="CB127">
        <v>5627.3901641479215</v>
      </c>
      <c r="CC127" t="s">
        <v>980</v>
      </c>
    </row>
    <row r="128" spans="1:81">
      <c r="A128" s="57">
        <f>'24hr SPS'!A128</f>
        <v>75</v>
      </c>
      <c r="B128" s="57"/>
      <c r="C128" s="69"/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77"/>
      <c r="AB128" s="41"/>
      <c r="AC128" s="59"/>
      <c r="AD128" s="87"/>
      <c r="AE128" s="87"/>
      <c r="AF128" s="88"/>
      <c r="AG128" s="88"/>
      <c r="AH128" s="88"/>
      <c r="AI128" s="88"/>
      <c r="AJ128" s="88"/>
      <c r="AK128" s="88"/>
      <c r="AL128" s="88"/>
      <c r="AM128" s="41"/>
      <c r="AN128" s="41"/>
      <c r="AO128" s="41"/>
      <c r="AP128" s="41"/>
      <c r="AQ128" s="41"/>
      <c r="AR128" s="41"/>
      <c r="AS128" s="41">
        <v>0</v>
      </c>
      <c r="AT128" s="41">
        <v>10.009904410882779</v>
      </c>
      <c r="AU128" s="41">
        <v>30.029713232648337</v>
      </c>
      <c r="AV128" s="41">
        <v>17.159836132941876</v>
      </c>
      <c r="AW128" s="41">
        <v>20.019808821765533</v>
      </c>
      <c r="AX128" s="41">
        <v>21.449795166177339</v>
      </c>
      <c r="AY128" s="77">
        <v>7.3973570726746729</v>
      </c>
      <c r="AZ128" s="77">
        <v>10.356299901744535</v>
      </c>
      <c r="BA128" s="77">
        <v>11.835771316279473</v>
      </c>
      <c r="BB128" s="77">
        <v>13.315242730814402</v>
      </c>
      <c r="BC128" s="77">
        <v>14.794714145349339</v>
      </c>
      <c r="BD128" s="77">
        <v>18.986549819864987</v>
      </c>
      <c r="BE128" s="41">
        <v>23.671542632558943</v>
      </c>
      <c r="BF128" s="41">
        <v>44.877299574226335</v>
      </c>
      <c r="BG128" s="77">
        <v>72.494099312211787</v>
      </c>
      <c r="BH128" s="77">
        <v>29.589428290698681</v>
      </c>
      <c r="BI128" s="77">
        <v>27.616799737985435</v>
      </c>
      <c r="BJ128" s="77">
        <v>25.151014047093874</v>
      </c>
      <c r="BK128" s="77">
        <v>39.120812742454781</v>
      </c>
      <c r="BL128" s="77">
        <v>54.769137839436695</v>
      </c>
      <c r="BM128" s="77">
        <v>62.593300387927655</v>
      </c>
      <c r="BN128" s="77">
        <v>70.417462936418602</v>
      </c>
      <c r="BO128" s="77">
        <v>78.241625484909562</v>
      </c>
      <c r="BP128" s="77">
        <v>100.41008603896728</v>
      </c>
      <c r="BQ128" s="77">
        <v>125.18660077585527</v>
      </c>
      <c r="BR128" s="77">
        <v>191.69198243802842</v>
      </c>
      <c r="BS128" s="77">
        <v>246.46112027746508</v>
      </c>
      <c r="BT128" s="77">
        <v>62.593300387927634</v>
      </c>
      <c r="BU128" s="77">
        <v>45.64094819953057</v>
      </c>
      <c r="BV128" s="77">
        <v>31.296650193963821</v>
      </c>
      <c r="BW128" s="50">
        <v>1507.178204048804</v>
      </c>
      <c r="BX128" s="60">
        <f>'48hr SPS '!$AZ$53</f>
        <v>15.757379999999998</v>
      </c>
      <c r="BY128" s="57">
        <f t="shared" si="49"/>
        <v>1522.935584048804</v>
      </c>
      <c r="BZ128">
        <v>76</v>
      </c>
      <c r="CA128" t="s">
        <v>324</v>
      </c>
      <c r="CB128">
        <v>5627.3901641479215</v>
      </c>
      <c r="CC128" t="s">
        <v>980</v>
      </c>
    </row>
    <row r="129" spans="1:81">
      <c r="A129" s="57">
        <f>'24hr SPS'!A129</f>
        <v>76</v>
      </c>
      <c r="B129" s="57"/>
      <c r="C129" s="69"/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77"/>
      <c r="AB129" s="41"/>
      <c r="AC129" s="59"/>
      <c r="AD129" s="87"/>
      <c r="AE129" s="87"/>
      <c r="AF129" s="88"/>
      <c r="AG129" s="88"/>
      <c r="AH129" s="88"/>
      <c r="AI129" s="88"/>
      <c r="AJ129" s="88"/>
      <c r="AK129" s="88"/>
      <c r="AL129" s="88"/>
      <c r="AM129" s="41"/>
      <c r="AN129" s="41"/>
      <c r="AO129" s="41"/>
      <c r="AP129" s="41"/>
      <c r="AQ129" s="41"/>
      <c r="AR129" s="41"/>
      <c r="AS129" s="41"/>
      <c r="AT129" s="41">
        <v>0</v>
      </c>
      <c r="AU129" s="41">
        <v>15.014856616324169</v>
      </c>
      <c r="AV129" s="41">
        <v>11.439890755294604</v>
      </c>
      <c r="AW129" s="41">
        <v>15.014856616324142</v>
      </c>
      <c r="AX129" s="41">
        <v>17.159836132941884</v>
      </c>
      <c r="AY129" s="77">
        <v>6.1644642272288923</v>
      </c>
      <c r="AZ129" s="77">
        <v>8.8768284872096057</v>
      </c>
      <c r="BA129" s="77">
        <v>10.356299901744535</v>
      </c>
      <c r="BB129" s="77">
        <v>11.835771316279473</v>
      </c>
      <c r="BC129" s="77">
        <v>13.315242730814402</v>
      </c>
      <c r="BD129" s="77">
        <v>17.260499836240896</v>
      </c>
      <c r="BE129" s="41">
        <v>21.698914079845697</v>
      </c>
      <c r="BF129" s="41">
        <v>41.425199606978147</v>
      </c>
      <c r="BG129" s="77">
        <v>67.31594936133952</v>
      </c>
      <c r="BH129" s="77">
        <v>27.616799737985435</v>
      </c>
      <c r="BI129" s="77">
        <v>25.890749754361345</v>
      </c>
      <c r="BJ129" s="77">
        <v>23.671542632558943</v>
      </c>
      <c r="BK129" s="77">
        <v>36.947434256762847</v>
      </c>
      <c r="BL129" s="77">
        <v>46.944975290945742</v>
      </c>
      <c r="BM129" s="77">
        <v>54.769137839436695</v>
      </c>
      <c r="BN129" s="77">
        <v>62.593300387927655</v>
      </c>
      <c r="BO129" s="77">
        <v>70.417462936418602</v>
      </c>
      <c r="BP129" s="77">
        <v>91.281896399061154</v>
      </c>
      <c r="BQ129" s="77">
        <v>114.75438404453401</v>
      </c>
      <c r="BR129" s="77">
        <v>219.07655135774675</v>
      </c>
      <c r="BS129" s="77">
        <v>287.53797365704258</v>
      </c>
      <c r="BT129" s="77">
        <v>93.889950581891455</v>
      </c>
      <c r="BU129" s="77">
        <v>54.769137839436688</v>
      </c>
      <c r="BV129" s="77">
        <v>39.120812742454774</v>
      </c>
      <c r="BW129" s="50">
        <v>1506.1607191271307</v>
      </c>
      <c r="BX129" s="60">
        <f>'48hr SPS '!$AZ$53</f>
        <v>15.757379999999998</v>
      </c>
      <c r="BY129" s="57">
        <f t="shared" si="49"/>
        <v>1521.9180991271307</v>
      </c>
      <c r="BZ129">
        <v>77</v>
      </c>
      <c r="CA129" t="s">
        <v>325</v>
      </c>
      <c r="CB129">
        <v>5627.3901641479215</v>
      </c>
      <c r="CC129" t="s">
        <v>980</v>
      </c>
    </row>
    <row r="130" spans="1:81">
      <c r="A130" s="57">
        <f>'24hr SPS'!A130</f>
        <v>77</v>
      </c>
      <c r="B130" s="57"/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77"/>
      <c r="AB130" s="41"/>
      <c r="AC130" s="59"/>
      <c r="AD130" s="87"/>
      <c r="AE130" s="87"/>
      <c r="AF130" s="88"/>
      <c r="AG130" s="88"/>
      <c r="AH130" s="88"/>
      <c r="AI130" s="88"/>
      <c r="AJ130" s="88"/>
      <c r="AK130" s="88"/>
      <c r="AL130" s="88"/>
      <c r="AM130" s="41"/>
      <c r="AN130" s="41"/>
      <c r="AO130" s="41"/>
      <c r="AP130" s="41"/>
      <c r="AQ130" s="41"/>
      <c r="AR130" s="41"/>
      <c r="AS130" s="41"/>
      <c r="AT130" s="41"/>
      <c r="AU130" s="41">
        <v>0</v>
      </c>
      <c r="AV130" s="41">
        <v>5.7199453776473019</v>
      </c>
      <c r="AW130" s="41">
        <v>10.009904410882779</v>
      </c>
      <c r="AX130" s="41">
        <v>12.869877099706407</v>
      </c>
      <c r="AY130" s="77">
        <v>4.931571381783117</v>
      </c>
      <c r="AZ130" s="77">
        <v>7.3973570726746694</v>
      </c>
      <c r="BA130" s="77">
        <v>8.8768284872096057</v>
      </c>
      <c r="BB130" s="77">
        <v>10.356299901744535</v>
      </c>
      <c r="BC130" s="77">
        <v>11.835771316279473</v>
      </c>
      <c r="BD130" s="77">
        <v>15.534449852616802</v>
      </c>
      <c r="BE130" s="41">
        <v>19.726285527132454</v>
      </c>
      <c r="BF130" s="41">
        <v>37.973099639729973</v>
      </c>
      <c r="BG130" s="77">
        <v>62.137799410467231</v>
      </c>
      <c r="BH130" s="77">
        <v>25.644171185272192</v>
      </c>
      <c r="BI130" s="77">
        <v>24.164699770737254</v>
      </c>
      <c r="BJ130" s="77">
        <v>22.192071218024008</v>
      </c>
      <c r="BK130" s="77">
        <v>34.77405577107092</v>
      </c>
      <c r="BL130" s="77">
        <v>44.336921108115419</v>
      </c>
      <c r="BM130" s="77">
        <v>46.944975290945742</v>
      </c>
      <c r="BN130" s="77">
        <v>54.769137839436695</v>
      </c>
      <c r="BO130" s="77">
        <v>62.593300387927655</v>
      </c>
      <c r="BP130" s="77">
        <v>82.153706759155043</v>
      </c>
      <c r="BQ130" s="77">
        <v>104.32216731321273</v>
      </c>
      <c r="BR130" s="77">
        <v>200.82017207793456</v>
      </c>
      <c r="BS130" s="77">
        <v>328.61482703662011</v>
      </c>
      <c r="BT130" s="77">
        <v>109.53827567887336</v>
      </c>
      <c r="BU130" s="77">
        <v>82.153706759155043</v>
      </c>
      <c r="BV130" s="77">
        <v>46.944975290945735</v>
      </c>
      <c r="BW130" s="50">
        <v>1477.3363529653009</v>
      </c>
      <c r="BX130" s="60">
        <f>'48hr SPS '!$AZ$53</f>
        <v>15.757379999999998</v>
      </c>
      <c r="BY130" s="57">
        <f t="shared" si="49"/>
        <v>1493.0937329653009</v>
      </c>
      <c r="BZ130">
        <v>78</v>
      </c>
      <c r="CA130" t="s">
        <v>326</v>
      </c>
      <c r="CB130">
        <v>5627.3901641479215</v>
      </c>
      <c r="CC130" t="s">
        <v>980</v>
      </c>
    </row>
    <row r="131" spans="1:81">
      <c r="A131" s="57">
        <f>'24hr SPS'!A131</f>
        <v>78</v>
      </c>
      <c r="B131" s="57"/>
      <c r="C131" s="69"/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69"/>
      <c r="Y131" s="69"/>
      <c r="Z131" s="69"/>
      <c r="AA131" s="77"/>
      <c r="AB131" s="41"/>
      <c r="AC131" s="59"/>
      <c r="AD131" s="87"/>
      <c r="AE131" s="87"/>
      <c r="AF131" s="88"/>
      <c r="AG131" s="88"/>
      <c r="AH131" s="88"/>
      <c r="AI131" s="88"/>
      <c r="AJ131" s="88"/>
      <c r="AK131" s="88"/>
      <c r="AL131" s="88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>
        <v>0</v>
      </c>
      <c r="AW131" s="41">
        <v>5.0049522054413895</v>
      </c>
      <c r="AX131" s="41">
        <v>8.5799180664709525</v>
      </c>
      <c r="AY131" s="77">
        <v>3.6986785363373365</v>
      </c>
      <c r="AZ131" s="77">
        <v>5.9178856581397401</v>
      </c>
      <c r="BA131" s="77">
        <v>7.3973570726746694</v>
      </c>
      <c r="BB131" s="77">
        <v>8.8768284872096057</v>
      </c>
      <c r="BC131" s="77">
        <v>10.356299901744535</v>
      </c>
      <c r="BD131" s="77">
        <v>13.808399868992719</v>
      </c>
      <c r="BE131" s="41">
        <v>17.753656974419204</v>
      </c>
      <c r="BF131" s="41">
        <v>34.520999672481793</v>
      </c>
      <c r="BG131" s="77">
        <v>56.959649459594964</v>
      </c>
      <c r="BH131" s="77">
        <v>23.671542632558943</v>
      </c>
      <c r="BI131" s="77">
        <v>22.438649787113167</v>
      </c>
      <c r="BJ131" s="77">
        <v>20.712599803489073</v>
      </c>
      <c r="BK131" s="77">
        <v>32.600677285378985</v>
      </c>
      <c r="BL131" s="77">
        <v>41.728866925285104</v>
      </c>
      <c r="BM131" s="77">
        <v>44.336921108115419</v>
      </c>
      <c r="BN131" s="77">
        <v>46.944975290945742</v>
      </c>
      <c r="BO131" s="77">
        <v>54.769137839436695</v>
      </c>
      <c r="BP131" s="77">
        <v>73.025517119248931</v>
      </c>
      <c r="BQ131" s="77">
        <v>93.889950581891455</v>
      </c>
      <c r="BR131" s="77">
        <v>182.56379279812231</v>
      </c>
      <c r="BS131" s="77">
        <v>301.23025811690178</v>
      </c>
      <c r="BT131" s="77">
        <v>125.18660077585527</v>
      </c>
      <c r="BU131" s="77">
        <v>95.845991219014209</v>
      </c>
      <c r="BV131" s="77">
        <v>70.417462936418602</v>
      </c>
      <c r="BW131" s="50">
        <v>1402.2375701232827</v>
      </c>
      <c r="BX131" s="60">
        <f>'48hr SPS '!$AZ$53</f>
        <v>15.757379999999998</v>
      </c>
      <c r="BY131" s="57">
        <f t="shared" si="49"/>
        <v>1417.9949501232827</v>
      </c>
      <c r="BZ131">
        <v>79</v>
      </c>
      <c r="CA131" t="s">
        <v>327</v>
      </c>
      <c r="CB131">
        <v>5627.3901641479215</v>
      </c>
      <c r="CC131" t="s">
        <v>980</v>
      </c>
    </row>
    <row r="132" spans="1:81">
      <c r="A132" s="57">
        <f>'24hr SPS'!A132</f>
        <v>79</v>
      </c>
      <c r="B132" s="57"/>
      <c r="C132" s="69"/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9"/>
      <c r="U132" s="69"/>
      <c r="V132" s="69"/>
      <c r="W132" s="69"/>
      <c r="X132" s="69"/>
      <c r="Y132" s="69"/>
      <c r="Z132" s="69"/>
      <c r="AA132" s="77"/>
      <c r="AB132" s="41"/>
      <c r="AC132" s="59"/>
      <c r="AD132" s="87"/>
      <c r="AE132" s="87"/>
      <c r="AF132" s="88"/>
      <c r="AG132" s="88"/>
      <c r="AH132" s="88"/>
      <c r="AI132" s="88"/>
      <c r="AJ132" s="88"/>
      <c r="AK132" s="88"/>
      <c r="AL132" s="88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>
        <v>0</v>
      </c>
      <c r="AX132" s="41">
        <v>4.2899590332354762</v>
      </c>
      <c r="AY132" s="77">
        <v>2.4657856908915616</v>
      </c>
      <c r="AZ132" s="77">
        <v>4.4384142436048029</v>
      </c>
      <c r="BA132" s="77">
        <v>5.9178856581397401</v>
      </c>
      <c r="BB132" s="77">
        <v>7.3973570726746694</v>
      </c>
      <c r="BC132" s="77">
        <v>8.8768284872096057</v>
      </c>
      <c r="BD132" s="77">
        <v>12.082349885368625</v>
      </c>
      <c r="BE132" s="41">
        <v>15.781028421705965</v>
      </c>
      <c r="BF132" s="41">
        <v>31.068899705233605</v>
      </c>
      <c r="BG132" s="77">
        <v>51.781499508722696</v>
      </c>
      <c r="BH132" s="77">
        <v>21.698914079845697</v>
      </c>
      <c r="BI132" s="77">
        <v>20.712599803489073</v>
      </c>
      <c r="BJ132" s="77">
        <v>19.233128388954142</v>
      </c>
      <c r="BK132" s="77">
        <v>30.427298799687055</v>
      </c>
      <c r="BL132" s="77">
        <v>39.120812742454788</v>
      </c>
      <c r="BM132" s="77">
        <v>41.728866925285104</v>
      </c>
      <c r="BN132" s="77">
        <v>44.336921108115419</v>
      </c>
      <c r="BO132" s="77">
        <v>46.944975290945742</v>
      </c>
      <c r="BP132" s="77">
        <v>63.897327479342813</v>
      </c>
      <c r="BQ132" s="77">
        <v>83.457733850570193</v>
      </c>
      <c r="BR132" s="77">
        <v>164.30741351831009</v>
      </c>
      <c r="BS132" s="77">
        <v>273.84568919718345</v>
      </c>
      <c r="BT132" s="77">
        <v>114.75438404453401</v>
      </c>
      <c r="BU132" s="77">
        <v>109.53827567887338</v>
      </c>
      <c r="BV132" s="77">
        <v>82.153706759155028</v>
      </c>
      <c r="BW132" s="50">
        <v>1300.2580553735327</v>
      </c>
      <c r="BX132" s="60">
        <f>'48hr SPS '!$AZ$53</f>
        <v>15.757379999999998</v>
      </c>
      <c r="BY132" s="57">
        <f t="shared" si="49"/>
        <v>1316.0154353735327</v>
      </c>
      <c r="BZ132">
        <v>80</v>
      </c>
      <c r="CA132" t="s">
        <v>328</v>
      </c>
      <c r="CB132">
        <v>5627.3901641479215</v>
      </c>
      <c r="CC132" t="s">
        <v>980</v>
      </c>
    </row>
    <row r="133" spans="1:81">
      <c r="A133" s="57">
        <f>'24hr SPS'!A133</f>
        <v>80</v>
      </c>
      <c r="B133" s="57"/>
      <c r="C133" s="69"/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69"/>
      <c r="X133" s="69"/>
      <c r="Y133" s="69"/>
      <c r="Z133" s="69"/>
      <c r="AA133" s="77"/>
      <c r="AB133" s="41"/>
      <c r="AC133" s="59"/>
      <c r="AD133" s="87"/>
      <c r="AE133" s="87"/>
      <c r="AF133" s="88"/>
      <c r="AG133" s="88"/>
      <c r="AH133" s="88"/>
      <c r="AI133" s="88"/>
      <c r="AJ133" s="88"/>
      <c r="AK133" s="88"/>
      <c r="AL133" s="88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>
        <v>0</v>
      </c>
      <c r="AY133" s="77">
        <v>1.2328928454457808</v>
      </c>
      <c r="AZ133" s="77">
        <v>2.9589428290698736</v>
      </c>
      <c r="BA133" s="77">
        <v>4.4384142436048029</v>
      </c>
      <c r="BB133" s="77">
        <v>5.9178856581397401</v>
      </c>
      <c r="BC133" s="77">
        <v>7.3973570726746694</v>
      </c>
      <c r="BD133" s="77">
        <v>10.356299901744542</v>
      </c>
      <c r="BE133" s="41">
        <v>13.808399868992716</v>
      </c>
      <c r="BF133" s="41">
        <v>27.616799737985438</v>
      </c>
      <c r="BG133" s="77">
        <v>46.603349557850422</v>
      </c>
      <c r="BH133" s="77">
        <v>19.726285527132454</v>
      </c>
      <c r="BI133" s="77">
        <v>18.986549819864987</v>
      </c>
      <c r="BJ133" s="77">
        <v>17.753656974419204</v>
      </c>
      <c r="BK133" s="77">
        <v>28.253920313995124</v>
      </c>
      <c r="BL133" s="77">
        <v>36.512758559624466</v>
      </c>
      <c r="BM133" s="77">
        <v>39.120812742454788</v>
      </c>
      <c r="BN133" s="77">
        <v>41.728866925285104</v>
      </c>
      <c r="BO133" s="77">
        <v>44.336921108115419</v>
      </c>
      <c r="BP133" s="77">
        <v>54.769137839436695</v>
      </c>
      <c r="BQ133" s="77">
        <v>73.025517119248917</v>
      </c>
      <c r="BR133" s="77">
        <v>146.05103423849786</v>
      </c>
      <c r="BS133" s="77">
        <v>246.46112027746508</v>
      </c>
      <c r="BT133" s="77">
        <v>104.32216731321273</v>
      </c>
      <c r="BU133" s="77">
        <v>100.41008603896728</v>
      </c>
      <c r="BV133" s="77">
        <v>93.889950581891469</v>
      </c>
      <c r="BW133" s="50">
        <v>1185.6791270951196</v>
      </c>
      <c r="BX133" s="60">
        <f>'48hr SPS '!$AZ$53</f>
        <v>15.757379999999998</v>
      </c>
      <c r="BY133" s="57">
        <f t="shared" si="49"/>
        <v>1201.4365070951196</v>
      </c>
      <c r="BZ133">
        <v>81</v>
      </c>
      <c r="CA133" t="s">
        <v>329</v>
      </c>
      <c r="CB133">
        <v>5627.3901641479215</v>
      </c>
      <c r="CC133" t="s">
        <v>980</v>
      </c>
    </row>
    <row r="134" spans="1:81">
      <c r="A134" s="57">
        <f>'24hr SPS'!A134</f>
        <v>81</v>
      </c>
      <c r="B134" s="57"/>
      <c r="C134" s="69"/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77"/>
      <c r="AB134" s="41"/>
      <c r="AC134" s="59"/>
      <c r="AD134" s="87"/>
      <c r="AE134" s="87"/>
      <c r="AF134" s="88"/>
      <c r="AG134" s="88"/>
      <c r="AH134" s="88"/>
      <c r="AI134" s="88"/>
      <c r="AJ134" s="88"/>
      <c r="AK134" s="88"/>
      <c r="AL134" s="88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77">
        <v>0</v>
      </c>
      <c r="AZ134" s="77">
        <v>1.4794714145349368</v>
      </c>
      <c r="BA134" s="77">
        <v>2.9589428290698736</v>
      </c>
      <c r="BB134" s="77">
        <v>4.4384142436048029</v>
      </c>
      <c r="BC134" s="77">
        <v>5.9178856581397401</v>
      </c>
      <c r="BD134" s="77">
        <v>8.6302499181204482</v>
      </c>
      <c r="BE134" s="41">
        <v>11.835771316279477</v>
      </c>
      <c r="BF134" s="41">
        <v>24.164699770737251</v>
      </c>
      <c r="BG134" s="77">
        <v>41.425199606978161</v>
      </c>
      <c r="BH134" s="77">
        <v>17.753656974419204</v>
      </c>
      <c r="BI134" s="77">
        <v>17.260499836240896</v>
      </c>
      <c r="BJ134" s="77">
        <v>16.274185559884273</v>
      </c>
      <c r="BK134" s="77">
        <v>26.080541828303186</v>
      </c>
      <c r="BL134" s="77">
        <v>33.90470437679415</v>
      </c>
      <c r="BM134" s="77">
        <v>36.512758559624466</v>
      </c>
      <c r="BN134" s="77">
        <v>39.120812742454788</v>
      </c>
      <c r="BO134" s="77">
        <v>41.728866925285104</v>
      </c>
      <c r="BP134" s="77">
        <v>51.726407959467991</v>
      </c>
      <c r="BQ134" s="77">
        <v>62.593300387927648</v>
      </c>
      <c r="BR134" s="77">
        <v>127.79465495868563</v>
      </c>
      <c r="BS134" s="77">
        <v>219.07655135774675</v>
      </c>
      <c r="BT134" s="77">
        <v>93.889950581891455</v>
      </c>
      <c r="BU134" s="77">
        <v>91.281896399061154</v>
      </c>
      <c r="BV134" s="77">
        <v>86.065788033400523</v>
      </c>
      <c r="BW134" s="50">
        <v>1061.9152112386519</v>
      </c>
      <c r="BX134" s="60">
        <f>'48hr SPS '!$AZ$53</f>
        <v>15.757379999999998</v>
      </c>
      <c r="BY134" s="57">
        <f t="shared" si="49"/>
        <v>1077.6725912386519</v>
      </c>
      <c r="BZ134">
        <v>82</v>
      </c>
      <c r="CA134" t="s">
        <v>330</v>
      </c>
      <c r="CB134">
        <v>5627.3901641479215</v>
      </c>
      <c r="CC134" t="s">
        <v>980</v>
      </c>
    </row>
    <row r="135" spans="1:81">
      <c r="A135" s="57">
        <f>'24hr SPS'!A135</f>
        <v>82</v>
      </c>
      <c r="B135" s="57"/>
      <c r="C135" s="69"/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69"/>
      <c r="S135" s="69"/>
      <c r="T135" s="69"/>
      <c r="U135" s="69"/>
      <c r="V135" s="69"/>
      <c r="W135" s="69"/>
      <c r="X135" s="69"/>
      <c r="Y135" s="69"/>
      <c r="Z135" s="69"/>
      <c r="AA135" s="77"/>
      <c r="AB135" s="41"/>
      <c r="AC135" s="59"/>
      <c r="AD135" s="87"/>
      <c r="AE135" s="87"/>
      <c r="AF135" s="88"/>
      <c r="AG135" s="88"/>
      <c r="AH135" s="88"/>
      <c r="AI135" s="88"/>
      <c r="AJ135" s="88"/>
      <c r="AK135" s="88"/>
      <c r="AL135" s="88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77"/>
      <c r="AZ135" s="77">
        <v>0</v>
      </c>
      <c r="BA135" s="77">
        <v>1.4794714145349368</v>
      </c>
      <c r="BB135" s="77">
        <v>2.9589428290698736</v>
      </c>
      <c r="BC135" s="77">
        <v>4.4384142436048029</v>
      </c>
      <c r="BD135" s="77">
        <v>6.904199934496364</v>
      </c>
      <c r="BE135" s="41">
        <v>9.863142763566227</v>
      </c>
      <c r="BF135" s="41">
        <v>20.712599803489084</v>
      </c>
      <c r="BG135" s="77">
        <v>36.247049656105887</v>
      </c>
      <c r="BH135" s="77">
        <v>15.781028421705965</v>
      </c>
      <c r="BI135" s="77">
        <v>15.534449852616802</v>
      </c>
      <c r="BJ135" s="77">
        <v>14.794714145349339</v>
      </c>
      <c r="BK135" s="77">
        <v>23.907163342611256</v>
      </c>
      <c r="BL135" s="77">
        <v>31.296650193963828</v>
      </c>
      <c r="BM135" s="77">
        <v>33.90470437679415</v>
      </c>
      <c r="BN135" s="77">
        <v>36.512758559624466</v>
      </c>
      <c r="BO135" s="77">
        <v>39.120812742454788</v>
      </c>
      <c r="BP135" s="77">
        <v>48.683678079499288</v>
      </c>
      <c r="BQ135" s="77">
        <v>59.115894810820556</v>
      </c>
      <c r="BR135" s="77">
        <v>109.53827567887339</v>
      </c>
      <c r="BS135" s="77">
        <v>191.69198243802842</v>
      </c>
      <c r="BT135" s="77">
        <v>83.457733850570193</v>
      </c>
      <c r="BU135" s="77">
        <v>82.153706759155043</v>
      </c>
      <c r="BV135" s="77">
        <v>78.241625484909562</v>
      </c>
      <c r="BW135" s="50">
        <v>946.33899938184436</v>
      </c>
      <c r="BX135" s="60">
        <f>'48hr SPS '!$AZ$53</f>
        <v>15.757379999999998</v>
      </c>
      <c r="BY135" s="57">
        <f t="shared" si="49"/>
        <v>962.09637938184437</v>
      </c>
      <c r="BZ135">
        <v>83</v>
      </c>
      <c r="CA135" t="s">
        <v>331</v>
      </c>
      <c r="CB135">
        <v>5627.3901641479215</v>
      </c>
      <c r="CC135" t="s">
        <v>980</v>
      </c>
    </row>
    <row r="136" spans="1:81">
      <c r="A136" s="57">
        <f>'24hr SPS'!A136</f>
        <v>83</v>
      </c>
      <c r="B136" s="57"/>
      <c r="C136" s="69"/>
      <c r="D136" s="69"/>
      <c r="E136" s="69"/>
      <c r="F136" s="69"/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69"/>
      <c r="U136" s="69"/>
      <c r="V136" s="69"/>
      <c r="W136" s="69"/>
      <c r="X136" s="69"/>
      <c r="Y136" s="69"/>
      <c r="Z136" s="69"/>
      <c r="AA136" s="77"/>
      <c r="AB136" s="41"/>
      <c r="AC136" s="59"/>
      <c r="AD136" s="87"/>
      <c r="AE136" s="87"/>
      <c r="AF136" s="88"/>
      <c r="AG136" s="88"/>
      <c r="AH136" s="88"/>
      <c r="AI136" s="88"/>
      <c r="AJ136" s="88"/>
      <c r="AK136" s="88"/>
      <c r="AL136" s="88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77"/>
      <c r="AZ136" s="77"/>
      <c r="BA136" s="77">
        <v>0</v>
      </c>
      <c r="BB136" s="77">
        <v>1.4794714145349368</v>
      </c>
      <c r="BC136" s="77">
        <v>2.9589428290698736</v>
      </c>
      <c r="BD136" s="77">
        <v>5.178149950872271</v>
      </c>
      <c r="BE136" s="41">
        <v>7.8905142108529871</v>
      </c>
      <c r="BF136" s="41">
        <v>17.260499836240896</v>
      </c>
      <c r="BG136" s="77">
        <v>31.06889970523363</v>
      </c>
      <c r="BH136" s="77">
        <v>13.808399868992716</v>
      </c>
      <c r="BI136" s="77">
        <v>13.808399868992719</v>
      </c>
      <c r="BJ136" s="77">
        <v>13.315242730814402</v>
      </c>
      <c r="BK136" s="77">
        <v>21.733784856919325</v>
      </c>
      <c r="BL136" s="77">
        <v>28.688596011133509</v>
      </c>
      <c r="BM136" s="77">
        <v>31.296650193963828</v>
      </c>
      <c r="BN136" s="77">
        <v>33.90470437679415</v>
      </c>
      <c r="BO136" s="77">
        <v>36.512758559624466</v>
      </c>
      <c r="BP136" s="77">
        <v>45.640948199530584</v>
      </c>
      <c r="BQ136" s="77">
        <v>55.638489233713464</v>
      </c>
      <c r="BR136" s="77">
        <v>103.45281591893598</v>
      </c>
      <c r="BS136" s="77">
        <v>164.30741351831009</v>
      </c>
      <c r="BT136" s="77">
        <v>73.025517119248917</v>
      </c>
      <c r="BU136" s="77">
        <v>73.025517119248931</v>
      </c>
      <c r="BV136" s="77">
        <v>70.417462936418602</v>
      </c>
      <c r="BW136" s="50">
        <v>844.41317845944616</v>
      </c>
      <c r="BX136" s="60">
        <f>'48hr SPS '!$AZ$53</f>
        <v>15.757379999999998</v>
      </c>
      <c r="BY136" s="57">
        <f t="shared" si="49"/>
        <v>860.17055845944617</v>
      </c>
      <c r="BZ136">
        <v>84</v>
      </c>
      <c r="CA136" t="s">
        <v>332</v>
      </c>
      <c r="CB136">
        <v>5627.3901641479215</v>
      </c>
      <c r="CC136" t="s">
        <v>980</v>
      </c>
    </row>
    <row r="137" spans="1:81">
      <c r="A137" s="57">
        <f>'24hr SPS'!A137</f>
        <v>84</v>
      </c>
      <c r="B137" s="57"/>
      <c r="C137" s="69"/>
      <c r="D137" s="69"/>
      <c r="E137" s="69"/>
      <c r="F137" s="69"/>
      <c r="G137" s="69"/>
      <c r="H137" s="69"/>
      <c r="I137" s="69"/>
      <c r="J137" s="69"/>
      <c r="K137" s="69"/>
      <c r="L137" s="69"/>
      <c r="M137" s="69"/>
      <c r="N137" s="69"/>
      <c r="O137" s="69"/>
      <c r="P137" s="69"/>
      <c r="Q137" s="69"/>
      <c r="R137" s="69"/>
      <c r="S137" s="69"/>
      <c r="T137" s="69"/>
      <c r="U137" s="69"/>
      <c r="V137" s="69"/>
      <c r="W137" s="69"/>
      <c r="X137" s="69"/>
      <c r="Y137" s="69"/>
      <c r="Z137" s="69"/>
      <c r="AA137" s="77"/>
      <c r="AB137" s="41"/>
      <c r="AC137" s="59"/>
      <c r="AD137" s="87"/>
      <c r="AE137" s="87"/>
      <c r="AF137" s="88"/>
      <c r="AG137" s="88"/>
      <c r="AH137" s="88"/>
      <c r="AI137" s="88"/>
      <c r="AJ137" s="88"/>
      <c r="AK137" s="88"/>
      <c r="AL137" s="88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77"/>
      <c r="AZ137" s="77"/>
      <c r="BA137" s="77"/>
      <c r="BB137" s="77">
        <v>0</v>
      </c>
      <c r="BC137" s="77">
        <v>1.4794714145349368</v>
      </c>
      <c r="BD137" s="77">
        <v>3.452099967248186</v>
      </c>
      <c r="BE137" s="41">
        <v>5.9178856581397383</v>
      </c>
      <c r="BF137" s="41">
        <v>13.808399868992728</v>
      </c>
      <c r="BG137" s="77">
        <v>25.890749754361348</v>
      </c>
      <c r="BH137" s="77">
        <v>11.835771316279477</v>
      </c>
      <c r="BI137" s="77">
        <v>12.082349885368625</v>
      </c>
      <c r="BJ137" s="77">
        <v>11.835771316279473</v>
      </c>
      <c r="BK137" s="77">
        <v>19.560406371227387</v>
      </c>
      <c r="BL137" s="77">
        <v>26.08054182830319</v>
      </c>
      <c r="BM137" s="77">
        <v>28.688596011133509</v>
      </c>
      <c r="BN137" s="77">
        <v>31.296650193963828</v>
      </c>
      <c r="BO137" s="77">
        <v>33.90470437679415</v>
      </c>
      <c r="BP137" s="77">
        <v>42.59821831956188</v>
      </c>
      <c r="BQ137" s="77">
        <v>52.161083656606372</v>
      </c>
      <c r="BR137" s="77">
        <v>97.367356158998575</v>
      </c>
      <c r="BS137" s="77">
        <v>155.17922387840397</v>
      </c>
      <c r="BT137" s="77">
        <v>62.593300387927648</v>
      </c>
      <c r="BU137" s="77">
        <v>63.897327479342813</v>
      </c>
      <c r="BV137" s="77">
        <v>62.593300387927655</v>
      </c>
      <c r="BW137" s="50">
        <v>762.22320823139557</v>
      </c>
      <c r="BX137" s="60">
        <f>'48hr SPS '!$AZ$53</f>
        <v>15.757379999999998</v>
      </c>
      <c r="BY137" s="57">
        <f t="shared" si="49"/>
        <v>777.98058823139559</v>
      </c>
      <c r="BZ137">
        <v>85</v>
      </c>
      <c r="CA137" t="s">
        <v>333</v>
      </c>
      <c r="CB137">
        <v>5627.3901641479215</v>
      </c>
      <c r="CC137" t="s">
        <v>980</v>
      </c>
    </row>
    <row r="138" spans="1:81">
      <c r="A138" s="57">
        <f>'24hr SPS'!A138</f>
        <v>85</v>
      </c>
      <c r="B138" s="57"/>
      <c r="C138" s="69"/>
      <c r="D138" s="69"/>
      <c r="E138" s="69"/>
      <c r="F138" s="69"/>
      <c r="G138" s="69"/>
      <c r="H138" s="69"/>
      <c r="I138" s="69"/>
      <c r="J138" s="69"/>
      <c r="K138" s="69"/>
      <c r="L138" s="69"/>
      <c r="M138" s="69"/>
      <c r="N138" s="69"/>
      <c r="O138" s="69"/>
      <c r="P138" s="69"/>
      <c r="Q138" s="69"/>
      <c r="R138" s="69"/>
      <c r="S138" s="69"/>
      <c r="T138" s="69"/>
      <c r="U138" s="69"/>
      <c r="V138" s="69"/>
      <c r="W138" s="69"/>
      <c r="X138" s="69"/>
      <c r="Y138" s="69"/>
      <c r="Z138" s="69"/>
      <c r="AA138" s="77"/>
      <c r="AB138" s="41"/>
      <c r="AC138" s="59"/>
      <c r="AD138" s="87"/>
      <c r="AE138" s="87"/>
      <c r="AF138" s="88"/>
      <c r="AG138" s="88"/>
      <c r="AH138" s="88"/>
      <c r="AI138" s="88"/>
      <c r="AJ138" s="88"/>
      <c r="AK138" s="88"/>
      <c r="AL138" s="88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77"/>
      <c r="AZ138" s="77"/>
      <c r="BA138" s="77"/>
      <c r="BB138" s="77"/>
      <c r="BC138" s="77">
        <v>0</v>
      </c>
      <c r="BD138" s="77">
        <v>1.726049983624093</v>
      </c>
      <c r="BE138" s="41">
        <v>3.9452571054264984</v>
      </c>
      <c r="BF138" s="41">
        <v>10.356299901744542</v>
      </c>
      <c r="BG138" s="77">
        <v>20.712599803489095</v>
      </c>
      <c r="BH138" s="77">
        <v>9.863142763566227</v>
      </c>
      <c r="BI138" s="77">
        <v>10.356299901744542</v>
      </c>
      <c r="BJ138" s="77">
        <v>10.356299901744535</v>
      </c>
      <c r="BK138" s="77">
        <v>17.387027885535463</v>
      </c>
      <c r="BL138" s="77">
        <v>23.472487645472867</v>
      </c>
      <c r="BM138" s="77">
        <v>26.08054182830319</v>
      </c>
      <c r="BN138" s="77">
        <v>28.688596011133509</v>
      </c>
      <c r="BO138" s="77">
        <v>31.296650193963828</v>
      </c>
      <c r="BP138" s="77">
        <v>39.555488439593177</v>
      </c>
      <c r="BQ138" s="77">
        <v>48.683678079499288</v>
      </c>
      <c r="BR138" s="77">
        <v>91.281896399061168</v>
      </c>
      <c r="BS138" s="77">
        <v>146.05103423849786</v>
      </c>
      <c r="BT138" s="77">
        <v>59.115894810820556</v>
      </c>
      <c r="BU138" s="77">
        <v>54.769137839436695</v>
      </c>
      <c r="BV138" s="77">
        <v>54.769137839436695</v>
      </c>
      <c r="BW138" s="50">
        <v>688.4675205720938</v>
      </c>
      <c r="BX138" s="60">
        <f>'48hr SPS '!$AZ$53</f>
        <v>15.757379999999998</v>
      </c>
      <c r="BY138" s="57">
        <f t="shared" si="49"/>
        <v>704.22490057209382</v>
      </c>
      <c r="BZ138">
        <v>86</v>
      </c>
      <c r="CA138" t="s">
        <v>334</v>
      </c>
      <c r="CB138">
        <v>5627.3901641479215</v>
      </c>
      <c r="CC138" t="s">
        <v>980</v>
      </c>
    </row>
    <row r="139" spans="1:81">
      <c r="A139" s="57">
        <f>'24hr SPS'!A139</f>
        <v>86</v>
      </c>
      <c r="B139" s="39"/>
      <c r="C139" s="69"/>
      <c r="D139" s="69"/>
      <c r="E139" s="69"/>
      <c r="F139" s="69"/>
      <c r="G139" s="69"/>
      <c r="H139" s="69"/>
      <c r="I139" s="69"/>
      <c r="J139" s="69"/>
      <c r="K139" s="69"/>
      <c r="L139" s="69"/>
      <c r="M139" s="69"/>
      <c r="N139" s="69"/>
      <c r="O139" s="69"/>
      <c r="P139" s="69"/>
      <c r="Q139" s="69"/>
      <c r="R139" s="69"/>
      <c r="S139" s="69"/>
      <c r="T139" s="69"/>
      <c r="U139" s="69"/>
      <c r="V139" s="69"/>
      <c r="W139" s="69"/>
      <c r="X139" s="69"/>
      <c r="Y139" s="69"/>
      <c r="Z139" s="69"/>
      <c r="AA139" s="77"/>
      <c r="AB139" s="41"/>
      <c r="AC139" s="59"/>
      <c r="AD139" s="87"/>
      <c r="AE139" s="87"/>
      <c r="AF139" s="88"/>
      <c r="AG139" s="88"/>
      <c r="AH139" s="88"/>
      <c r="AI139" s="88"/>
      <c r="AJ139" s="88"/>
      <c r="AK139" s="88"/>
      <c r="AL139" s="88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77"/>
      <c r="AZ139" s="77"/>
      <c r="BA139" s="77"/>
      <c r="BB139" s="77"/>
      <c r="BC139" s="77"/>
      <c r="BD139" s="77">
        <v>0</v>
      </c>
      <c r="BE139" s="41">
        <v>1.9726285527132492</v>
      </c>
      <c r="BF139" s="41">
        <v>6.904199934496372</v>
      </c>
      <c r="BG139" s="77">
        <v>15.534449852616815</v>
      </c>
      <c r="BH139" s="77">
        <v>7.8905142108529871</v>
      </c>
      <c r="BI139" s="77">
        <v>8.6302499181204482</v>
      </c>
      <c r="BJ139" s="77">
        <v>8.8768284872096057</v>
      </c>
      <c r="BK139" s="77">
        <v>15.213649399843526</v>
      </c>
      <c r="BL139" s="77">
        <v>20.864433462642555</v>
      </c>
      <c r="BM139" s="77">
        <v>23.472487645472867</v>
      </c>
      <c r="BN139" s="77">
        <v>26.08054182830319</v>
      </c>
      <c r="BO139" s="77">
        <v>28.688596011133509</v>
      </c>
      <c r="BP139" s="77">
        <v>36.512758559624466</v>
      </c>
      <c r="BQ139" s="77">
        <v>45.206272502392196</v>
      </c>
      <c r="BR139" s="77">
        <v>85.19643663912376</v>
      </c>
      <c r="BS139" s="77">
        <v>136.92284459859175</v>
      </c>
      <c r="BT139" s="77">
        <v>55.638489233713464</v>
      </c>
      <c r="BU139" s="77">
        <v>51.726407959467991</v>
      </c>
      <c r="BV139" s="77">
        <v>46.944975290945742</v>
      </c>
      <c r="BW139" s="50">
        <v>622.27676408726461</v>
      </c>
      <c r="BX139" s="60">
        <f>'48hr SPS '!$AZ$53</f>
        <v>15.757379999999998</v>
      </c>
      <c r="BY139" s="57">
        <f t="shared" si="49"/>
        <v>638.03414408726462</v>
      </c>
      <c r="BZ139">
        <v>87</v>
      </c>
      <c r="CA139" t="s">
        <v>335</v>
      </c>
      <c r="CB139">
        <v>5627.3901641479215</v>
      </c>
      <c r="CC139" t="s">
        <v>980</v>
      </c>
    </row>
    <row r="140" spans="1:81">
      <c r="A140" s="57">
        <f>'24hr SPS'!A140</f>
        <v>87</v>
      </c>
      <c r="B140" s="39"/>
      <c r="C140" s="69"/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9"/>
      <c r="U140" s="69"/>
      <c r="V140" s="69"/>
      <c r="W140" s="69"/>
      <c r="X140" s="69"/>
      <c r="Y140" s="69"/>
      <c r="Z140" s="69"/>
      <c r="AA140" s="77"/>
      <c r="AB140" s="41"/>
      <c r="AC140" s="59"/>
      <c r="AD140" s="87"/>
      <c r="AE140" s="87"/>
      <c r="AF140" s="88"/>
      <c r="AG140" s="88"/>
      <c r="AH140" s="88"/>
      <c r="AI140" s="88"/>
      <c r="AJ140" s="88"/>
      <c r="AK140" s="88"/>
      <c r="AL140" s="88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77"/>
      <c r="AZ140" s="77"/>
      <c r="BA140" s="77"/>
      <c r="BB140" s="77"/>
      <c r="BC140" s="77"/>
      <c r="BD140" s="77"/>
      <c r="BE140" s="41">
        <v>0</v>
      </c>
      <c r="BF140" s="41">
        <v>3.452099967248186</v>
      </c>
      <c r="BG140" s="77">
        <v>10.35629990174456</v>
      </c>
      <c r="BH140" s="77">
        <v>5.9178856581397383</v>
      </c>
      <c r="BI140" s="77">
        <v>6.904199934496364</v>
      </c>
      <c r="BJ140" s="77">
        <v>7.3973570726746694</v>
      </c>
      <c r="BK140" s="77">
        <v>13.040270914151598</v>
      </c>
      <c r="BL140" s="77">
        <v>18.256379279812229</v>
      </c>
      <c r="BM140" s="77">
        <v>20.864433462642555</v>
      </c>
      <c r="BN140" s="77">
        <v>23.472487645472867</v>
      </c>
      <c r="BO140" s="77">
        <v>26.08054182830319</v>
      </c>
      <c r="BP140" s="77">
        <v>33.470028679655762</v>
      </c>
      <c r="BQ140" s="77">
        <v>41.728866925285097</v>
      </c>
      <c r="BR140" s="77">
        <v>79.110976879186353</v>
      </c>
      <c r="BS140" s="77">
        <v>127.79465495868563</v>
      </c>
      <c r="BT140" s="77">
        <v>52.161083656606372</v>
      </c>
      <c r="BU140" s="77">
        <v>48.683678079499288</v>
      </c>
      <c r="BV140" s="77">
        <v>44.336921108115419</v>
      </c>
      <c r="BW140" s="50">
        <v>563.02816595171987</v>
      </c>
      <c r="BX140" s="60">
        <f>'48hr SPS '!$AZ$53</f>
        <v>15.757379999999998</v>
      </c>
      <c r="BY140" s="57">
        <f t="shared" si="49"/>
        <v>578.78554595171988</v>
      </c>
      <c r="BZ140">
        <v>88</v>
      </c>
      <c r="CA140" t="s">
        <v>336</v>
      </c>
      <c r="CB140">
        <v>5627.3901641479215</v>
      </c>
      <c r="CC140" t="s">
        <v>980</v>
      </c>
    </row>
    <row r="141" spans="1:81">
      <c r="A141" s="57">
        <f>'24hr SPS'!A141</f>
        <v>88</v>
      </c>
      <c r="B141" s="57"/>
      <c r="C141" s="69"/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/>
      <c r="T141" s="69"/>
      <c r="U141" s="69"/>
      <c r="V141" s="69"/>
      <c r="W141" s="69"/>
      <c r="X141" s="69"/>
      <c r="Y141" s="69"/>
      <c r="Z141" s="69"/>
      <c r="AA141" s="77"/>
      <c r="AB141" s="41"/>
      <c r="AC141" s="59"/>
      <c r="AD141" s="87"/>
      <c r="AE141" s="87"/>
      <c r="AF141" s="88"/>
      <c r="AG141" s="88"/>
      <c r="AH141" s="88"/>
      <c r="AI141" s="88"/>
      <c r="AJ141" s="88"/>
      <c r="AK141" s="88"/>
      <c r="AL141" s="88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77"/>
      <c r="AZ141" s="77"/>
      <c r="BA141" s="77"/>
      <c r="BB141" s="77"/>
      <c r="BC141" s="77"/>
      <c r="BD141" s="77"/>
      <c r="BE141" s="41"/>
      <c r="BF141" s="41">
        <v>0</v>
      </c>
      <c r="BG141" s="77">
        <v>5.1781499508722799</v>
      </c>
      <c r="BH141" s="77">
        <v>3.9452571054264984</v>
      </c>
      <c r="BI141" s="77">
        <v>5.178149950872271</v>
      </c>
      <c r="BJ141" s="77">
        <v>5.9178856581397401</v>
      </c>
      <c r="BK141" s="77">
        <v>10.866892428459662</v>
      </c>
      <c r="BL141" s="77">
        <v>15.648325096981919</v>
      </c>
      <c r="BM141" s="77">
        <v>18.256379279812229</v>
      </c>
      <c r="BN141" s="77">
        <v>20.864433462642555</v>
      </c>
      <c r="BO141" s="77">
        <v>23.472487645472867</v>
      </c>
      <c r="BP141" s="77">
        <v>30.427298799687058</v>
      </c>
      <c r="BQ141" s="77">
        <v>38.251461348178005</v>
      </c>
      <c r="BR141" s="77">
        <v>73.025517119248931</v>
      </c>
      <c r="BS141" s="77">
        <v>118.66646531877952</v>
      </c>
      <c r="BT141" s="77">
        <v>48.683678079499288</v>
      </c>
      <c r="BU141" s="77">
        <v>45.640948199530584</v>
      </c>
      <c r="BV141" s="77">
        <v>41.728866925285104</v>
      </c>
      <c r="BW141" s="50">
        <v>505.75219636888852</v>
      </c>
      <c r="BX141" s="60">
        <f>'48hr SPS '!$AZ$53</f>
        <v>15.757379999999998</v>
      </c>
      <c r="BY141" s="57">
        <f t="shared" si="49"/>
        <v>521.50957636888847</v>
      </c>
      <c r="BZ141">
        <v>89</v>
      </c>
      <c r="CA141" t="s">
        <v>337</v>
      </c>
      <c r="CB141">
        <v>5627.3901641479215</v>
      </c>
      <c r="CC141" t="s">
        <v>980</v>
      </c>
    </row>
    <row r="142" spans="1:81">
      <c r="A142" s="57">
        <f>'24hr SPS'!A142</f>
        <v>89</v>
      </c>
      <c r="B142" s="57"/>
      <c r="C142" s="69"/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9"/>
      <c r="U142" s="69"/>
      <c r="V142" s="69"/>
      <c r="W142" s="69"/>
      <c r="X142" s="69"/>
      <c r="Y142" s="69"/>
      <c r="Z142" s="69"/>
      <c r="AA142" s="77"/>
      <c r="AB142" s="41"/>
      <c r="AC142" s="59"/>
      <c r="AD142" s="87"/>
      <c r="AE142" s="87"/>
      <c r="AF142" s="88"/>
      <c r="AG142" s="88"/>
      <c r="AH142" s="88"/>
      <c r="AI142" s="88"/>
      <c r="AJ142" s="88"/>
      <c r="AK142" s="88"/>
      <c r="AL142" s="88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77"/>
      <c r="AZ142" s="77"/>
      <c r="BA142" s="77"/>
      <c r="BB142" s="77"/>
      <c r="BC142" s="77"/>
      <c r="BD142" s="77"/>
      <c r="BE142" s="41"/>
      <c r="BF142" s="41"/>
      <c r="BG142" s="77">
        <v>0</v>
      </c>
      <c r="BH142" s="77">
        <v>1.9726285527132492</v>
      </c>
      <c r="BI142" s="77">
        <v>3.452099967248186</v>
      </c>
      <c r="BJ142" s="77">
        <v>4.4384142436048029</v>
      </c>
      <c r="BK142" s="77">
        <v>8.693513942767737</v>
      </c>
      <c r="BL142" s="77">
        <v>13.040270914151595</v>
      </c>
      <c r="BM142" s="77">
        <v>15.648325096981919</v>
      </c>
      <c r="BN142" s="77">
        <v>18.256379279812229</v>
      </c>
      <c r="BO142" s="77">
        <v>20.864433462642555</v>
      </c>
      <c r="BP142" s="77">
        <v>27.384568919718344</v>
      </c>
      <c r="BQ142" s="77">
        <v>34.77405577107092</v>
      </c>
      <c r="BR142" s="77">
        <v>66.940057359311524</v>
      </c>
      <c r="BS142" s="77">
        <v>109.53827567887338</v>
      </c>
      <c r="BT142" s="77">
        <v>45.206272502392196</v>
      </c>
      <c r="BU142" s="77">
        <v>42.59821831956188</v>
      </c>
      <c r="BV142" s="77">
        <v>39.120812742454788</v>
      </c>
      <c r="BW142" s="50">
        <v>451.92832675330538</v>
      </c>
      <c r="BX142" s="60">
        <f>'48hr SPS '!$AZ$53</f>
        <v>15.757379999999998</v>
      </c>
      <c r="BY142" s="57">
        <f t="shared" si="49"/>
        <v>467.6857067533054</v>
      </c>
      <c r="BZ142">
        <v>90</v>
      </c>
      <c r="CA142" t="s">
        <v>338</v>
      </c>
      <c r="CB142">
        <v>5627.3901641479215</v>
      </c>
      <c r="CC142" t="s">
        <v>980</v>
      </c>
    </row>
    <row r="143" spans="1:81">
      <c r="A143" s="57">
        <f>'24hr SPS'!A143</f>
        <v>90</v>
      </c>
      <c r="B143" s="57"/>
      <c r="C143" s="69"/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R143" s="69"/>
      <c r="S143" s="69"/>
      <c r="T143" s="69"/>
      <c r="U143" s="69"/>
      <c r="V143" s="69"/>
      <c r="W143" s="69"/>
      <c r="X143" s="69"/>
      <c r="Y143" s="69"/>
      <c r="Z143" s="69"/>
      <c r="AA143" s="77"/>
      <c r="AB143" s="41"/>
      <c r="AC143" s="59"/>
      <c r="AD143" s="87"/>
      <c r="AE143" s="87"/>
      <c r="AF143" s="88"/>
      <c r="AG143" s="88"/>
      <c r="AH143" s="88"/>
      <c r="AI143" s="88"/>
      <c r="AJ143" s="88"/>
      <c r="AK143" s="88"/>
      <c r="AL143" s="88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77"/>
      <c r="AZ143" s="77"/>
      <c r="BA143" s="77"/>
      <c r="BB143" s="77"/>
      <c r="BC143" s="77"/>
      <c r="BD143" s="77"/>
      <c r="BE143" s="41"/>
      <c r="BF143" s="41"/>
      <c r="BG143" s="77"/>
      <c r="BH143" s="77">
        <v>0</v>
      </c>
      <c r="BI143" s="77">
        <v>1.726049983624093</v>
      </c>
      <c r="BJ143" s="77">
        <v>2.9589428290698736</v>
      </c>
      <c r="BK143" s="77">
        <v>6.5201354570757992</v>
      </c>
      <c r="BL143" s="77">
        <v>10.432216731321285</v>
      </c>
      <c r="BM143" s="77">
        <v>13.040270914151595</v>
      </c>
      <c r="BN143" s="77">
        <v>15.648325096981919</v>
      </c>
      <c r="BO143" s="77">
        <v>18.256379279812229</v>
      </c>
      <c r="BP143" s="77">
        <v>24.341839039749647</v>
      </c>
      <c r="BQ143" s="77">
        <v>31.296650193963817</v>
      </c>
      <c r="BR143" s="77">
        <v>60.854597599374117</v>
      </c>
      <c r="BS143" s="77">
        <v>100.41008603896726</v>
      </c>
      <c r="BT143" s="77">
        <v>41.728866925285097</v>
      </c>
      <c r="BU143" s="77">
        <v>39.555488439593177</v>
      </c>
      <c r="BV143" s="77">
        <v>36.512758559624466</v>
      </c>
      <c r="BW143" s="50">
        <v>403.28260708859432</v>
      </c>
      <c r="BX143" s="60">
        <f>'48hr SPS '!$AZ$53</f>
        <v>15.757379999999998</v>
      </c>
      <c r="BY143" s="57">
        <f t="shared" si="49"/>
        <v>419.03998708859433</v>
      </c>
      <c r="BZ143">
        <v>91</v>
      </c>
      <c r="CA143" t="s">
        <v>339</v>
      </c>
      <c r="CB143">
        <v>5627.3901641479215</v>
      </c>
      <c r="CC143" t="s">
        <v>980</v>
      </c>
    </row>
    <row r="144" spans="1:81">
      <c r="A144" s="57">
        <f>'24hr SPS'!A144</f>
        <v>91</v>
      </c>
      <c r="B144" s="57"/>
      <c r="C144" s="69"/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69"/>
      <c r="U144" s="69"/>
      <c r="V144" s="69"/>
      <c r="W144" s="69"/>
      <c r="X144" s="69"/>
      <c r="Y144" s="69"/>
      <c r="Z144" s="69"/>
      <c r="AA144" s="77"/>
      <c r="AB144" s="41"/>
      <c r="AC144" s="59"/>
      <c r="AD144" s="87"/>
      <c r="AE144" s="87"/>
      <c r="AF144" s="88"/>
      <c r="AG144" s="88"/>
      <c r="AH144" s="88"/>
      <c r="AI144" s="88"/>
      <c r="AJ144" s="88"/>
      <c r="AK144" s="88"/>
      <c r="AL144" s="88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77"/>
      <c r="AZ144" s="77"/>
      <c r="BA144" s="77"/>
      <c r="BB144" s="77"/>
      <c r="BC144" s="77"/>
      <c r="BD144" s="77"/>
      <c r="BE144" s="41"/>
      <c r="BF144" s="41"/>
      <c r="BG144" s="77"/>
      <c r="BH144" s="77"/>
      <c r="BI144" s="77">
        <v>0</v>
      </c>
      <c r="BJ144" s="77">
        <v>1.4794714145349368</v>
      </c>
      <c r="BK144" s="77">
        <v>4.3467569713838738</v>
      </c>
      <c r="BL144" s="77">
        <v>7.8241625484909596</v>
      </c>
      <c r="BM144" s="77">
        <v>10.432216731321285</v>
      </c>
      <c r="BN144" s="77">
        <v>13.040270914151595</v>
      </c>
      <c r="BO144" s="77">
        <v>15.648325096981919</v>
      </c>
      <c r="BP144" s="77">
        <v>21.299109159780937</v>
      </c>
      <c r="BQ144" s="77">
        <v>27.819244616856736</v>
      </c>
      <c r="BR144" s="77">
        <v>54.769137839436688</v>
      </c>
      <c r="BS144" s="77">
        <v>91.281896399061154</v>
      </c>
      <c r="BT144" s="77">
        <v>38.251461348178005</v>
      </c>
      <c r="BU144" s="77">
        <v>36.512758559624466</v>
      </c>
      <c r="BV144" s="77">
        <v>33.90470437679415</v>
      </c>
      <c r="BW144" s="50">
        <v>356.6095159765967</v>
      </c>
      <c r="BX144" s="60">
        <f>'48hr SPS '!$AZ$53</f>
        <v>15.757379999999998</v>
      </c>
      <c r="BY144" s="57">
        <f t="shared" si="49"/>
        <v>372.36689597659671</v>
      </c>
      <c r="BZ144">
        <v>92</v>
      </c>
      <c r="CA144" t="s">
        <v>340</v>
      </c>
      <c r="CB144">
        <v>5627.3901641479215</v>
      </c>
      <c r="CC144" t="s">
        <v>980</v>
      </c>
    </row>
    <row r="145" spans="1:81">
      <c r="A145" s="57">
        <f>'24hr SPS'!A145</f>
        <v>92</v>
      </c>
      <c r="B145" s="39"/>
      <c r="C145" s="69"/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69"/>
      <c r="R145" s="69"/>
      <c r="S145" s="69"/>
      <c r="T145" s="69"/>
      <c r="U145" s="69"/>
      <c r="V145" s="69"/>
      <c r="W145" s="69"/>
      <c r="X145" s="69"/>
      <c r="Y145" s="69"/>
      <c r="Z145" s="69"/>
      <c r="AA145" s="77"/>
      <c r="AB145" s="41"/>
      <c r="AC145" s="59"/>
      <c r="AD145" s="87"/>
      <c r="AE145" s="87"/>
      <c r="AF145" s="88"/>
      <c r="AG145" s="88"/>
      <c r="AH145" s="88"/>
      <c r="AI145" s="88"/>
      <c r="AJ145" s="88"/>
      <c r="AK145" s="88"/>
      <c r="AL145" s="88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77"/>
      <c r="AZ145" s="77"/>
      <c r="BA145" s="77"/>
      <c r="BB145" s="77"/>
      <c r="BC145" s="77"/>
      <c r="BD145" s="77"/>
      <c r="BE145" s="41"/>
      <c r="BF145" s="41"/>
      <c r="BG145" s="77"/>
      <c r="BH145" s="77"/>
      <c r="BI145" s="77"/>
      <c r="BJ145" s="77">
        <v>0</v>
      </c>
      <c r="BK145" s="77">
        <v>2.1733784856919369</v>
      </c>
      <c r="BL145" s="77">
        <v>5.2161083656606486</v>
      </c>
      <c r="BM145" s="77">
        <v>7.8241625484909596</v>
      </c>
      <c r="BN145" s="77">
        <v>10.432216731321285</v>
      </c>
      <c r="BO145" s="77">
        <v>13.040270914151595</v>
      </c>
      <c r="BP145" s="77">
        <v>18.25637927981224</v>
      </c>
      <c r="BQ145" s="77">
        <v>24.341839039749637</v>
      </c>
      <c r="BR145" s="77">
        <v>48.683678079499295</v>
      </c>
      <c r="BS145" s="77">
        <v>82.153706759155028</v>
      </c>
      <c r="BT145" s="77">
        <v>34.77405577107092</v>
      </c>
      <c r="BU145" s="77">
        <v>33.470028679655762</v>
      </c>
      <c r="BV145" s="77">
        <v>31.296650193963828</v>
      </c>
      <c r="BW145" s="50">
        <v>311.66247484822316</v>
      </c>
      <c r="BX145" s="60">
        <f>'48hr SPS '!$AZ$53</f>
        <v>15.757379999999998</v>
      </c>
      <c r="BY145" s="57">
        <f t="shared" si="49"/>
        <v>327.41985484822317</v>
      </c>
      <c r="BZ145">
        <v>93</v>
      </c>
      <c r="CA145" t="s">
        <v>341</v>
      </c>
      <c r="CB145">
        <v>5627.3901641479215</v>
      </c>
      <c r="CC145" t="s">
        <v>980</v>
      </c>
    </row>
    <row r="146" spans="1:81">
      <c r="A146" s="57">
        <f>'24hr SPS'!A146</f>
        <v>93</v>
      </c>
      <c r="B146" s="39"/>
      <c r="C146" s="69"/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/>
      <c r="T146" s="69"/>
      <c r="U146" s="69"/>
      <c r="V146" s="69"/>
      <c r="W146" s="69"/>
      <c r="X146" s="69"/>
      <c r="Y146" s="69"/>
      <c r="Z146" s="69"/>
      <c r="AA146" s="77"/>
      <c r="AB146" s="41"/>
      <c r="AC146" s="59"/>
      <c r="AD146" s="87"/>
      <c r="AE146" s="87"/>
      <c r="AF146" s="88"/>
      <c r="AG146" s="88"/>
      <c r="AH146" s="88"/>
      <c r="AI146" s="88"/>
      <c r="AJ146" s="88"/>
      <c r="AK146" s="88"/>
      <c r="AL146" s="88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77"/>
      <c r="AZ146" s="77"/>
      <c r="BA146" s="77"/>
      <c r="BB146" s="77"/>
      <c r="BC146" s="77"/>
      <c r="BD146" s="77"/>
      <c r="BE146" s="41"/>
      <c r="BF146" s="41"/>
      <c r="BG146" s="77"/>
      <c r="BH146" s="77"/>
      <c r="BI146" s="77"/>
      <c r="BJ146" s="77"/>
      <c r="BK146" s="77">
        <v>0</v>
      </c>
      <c r="BL146" s="77">
        <v>2.6080541828303243</v>
      </c>
      <c r="BM146" s="77">
        <v>5.2161083656606486</v>
      </c>
      <c r="BN146" s="77">
        <v>7.8241625484909596</v>
      </c>
      <c r="BO146" s="77">
        <v>10.432216731321285</v>
      </c>
      <c r="BP146" s="77">
        <v>15.213649399843529</v>
      </c>
      <c r="BQ146" s="77">
        <v>20.864433462642555</v>
      </c>
      <c r="BR146" s="77">
        <v>42.598218319561873</v>
      </c>
      <c r="BS146" s="77">
        <v>73.025517119248931</v>
      </c>
      <c r="BT146" s="77">
        <v>31.296650193963817</v>
      </c>
      <c r="BU146" s="77">
        <v>30.427298799687058</v>
      </c>
      <c r="BV146" s="77">
        <v>28.688596011133509</v>
      </c>
      <c r="BW146" s="50">
        <v>268.19490513438444</v>
      </c>
      <c r="BX146" s="60">
        <f>'48hr SPS '!$AZ$53</f>
        <v>15.757379999999998</v>
      </c>
      <c r="BY146" s="57">
        <f t="shared" si="49"/>
        <v>283.95228513438445</v>
      </c>
      <c r="BZ146">
        <v>94</v>
      </c>
      <c r="CA146" t="s">
        <v>342</v>
      </c>
      <c r="CB146">
        <v>5627.3901641479215</v>
      </c>
      <c r="CC146" t="s">
        <v>980</v>
      </c>
    </row>
    <row r="147" spans="1:81">
      <c r="A147" s="57">
        <v>94</v>
      </c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41"/>
      <c r="AC147" s="59"/>
      <c r="AD147" s="87"/>
      <c r="AE147" s="87"/>
      <c r="AF147" s="88"/>
      <c r="AG147" s="88"/>
      <c r="AH147" s="88"/>
      <c r="AI147" s="88"/>
      <c r="AJ147" s="88"/>
      <c r="AK147" s="88"/>
      <c r="AL147" s="88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77"/>
      <c r="AZ147" s="77"/>
      <c r="BA147" s="77"/>
      <c r="BB147" s="77"/>
      <c r="BC147" s="77"/>
      <c r="BD147" s="77"/>
      <c r="BE147" s="41"/>
      <c r="BF147" s="41"/>
      <c r="BG147" s="77"/>
      <c r="BH147" s="77"/>
      <c r="BI147" s="77"/>
      <c r="BJ147" s="77"/>
      <c r="BK147" s="77"/>
      <c r="BL147" s="77">
        <v>0</v>
      </c>
      <c r="BM147" s="77">
        <v>2.6080541828303243</v>
      </c>
      <c r="BN147" s="77">
        <v>5.2161083656606486</v>
      </c>
      <c r="BO147" s="77">
        <v>7.8241625484909596</v>
      </c>
      <c r="BP147" s="77">
        <v>12.170919519874833</v>
      </c>
      <c r="BQ147" s="77">
        <v>17.38702788553546</v>
      </c>
      <c r="BR147" s="77">
        <v>36.51275855962448</v>
      </c>
      <c r="BS147" s="77">
        <v>63.897327479342799</v>
      </c>
      <c r="BT147" s="77">
        <v>27.819244616856736</v>
      </c>
      <c r="BU147" s="77">
        <v>27.384568919718344</v>
      </c>
      <c r="BV147" s="77">
        <v>26.08054182830319</v>
      </c>
      <c r="BW147" s="50">
        <v>226.90071390623777</v>
      </c>
      <c r="BX147" s="60">
        <f>'48hr SPS '!$AZ$53</f>
        <v>15.757379999999998</v>
      </c>
      <c r="BY147" s="57">
        <f t="shared" si="49"/>
        <v>242.65809390623775</v>
      </c>
      <c r="BZ147">
        <v>95</v>
      </c>
      <c r="CA147" t="s">
        <v>343</v>
      </c>
      <c r="CB147">
        <v>5627.3901641479215</v>
      </c>
      <c r="CC147" t="s">
        <v>980</v>
      </c>
    </row>
    <row r="148" spans="1:81">
      <c r="A148" s="57">
        <v>95</v>
      </c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41"/>
      <c r="AC148" s="59"/>
      <c r="AD148" s="87"/>
      <c r="AE148" s="87"/>
      <c r="AF148" s="88"/>
      <c r="AG148" s="88"/>
      <c r="AH148" s="88"/>
      <c r="AI148" s="88"/>
      <c r="AJ148" s="88"/>
      <c r="AK148" s="88"/>
      <c r="AL148" s="88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77"/>
      <c r="AZ148" s="77"/>
      <c r="BA148" s="77"/>
      <c r="BB148" s="77"/>
      <c r="BC148" s="77"/>
      <c r="BD148" s="77"/>
      <c r="BE148" s="41"/>
      <c r="BF148" s="41"/>
      <c r="BG148" s="77"/>
      <c r="BH148" s="77"/>
      <c r="BI148" s="77"/>
      <c r="BJ148" s="77"/>
      <c r="BK148" s="77"/>
      <c r="BL148" s="77"/>
      <c r="BM148" s="77">
        <v>0</v>
      </c>
      <c r="BN148" s="77">
        <v>2.6080541828303243</v>
      </c>
      <c r="BO148" s="77">
        <v>5.2161083656606486</v>
      </c>
      <c r="BP148" s="77">
        <v>9.12818963990612</v>
      </c>
      <c r="BQ148" s="77">
        <v>13.909622308428377</v>
      </c>
      <c r="BR148" s="77">
        <v>30.427298799687058</v>
      </c>
      <c r="BS148" s="77">
        <v>54.769137839436716</v>
      </c>
      <c r="BT148" s="77">
        <v>24.341839039749637</v>
      </c>
      <c r="BU148" s="77">
        <v>24.341839039749647</v>
      </c>
      <c r="BV148" s="77">
        <v>23.472487645472867</v>
      </c>
      <c r="BW148" s="50">
        <v>188.2145768609214</v>
      </c>
      <c r="BX148" s="60">
        <f>'48hr SPS '!$AZ$53</f>
        <v>15.757379999999998</v>
      </c>
      <c r="BY148" s="57">
        <f t="shared" si="49"/>
        <v>203.97195686092141</v>
      </c>
      <c r="BZ148">
        <v>96</v>
      </c>
      <c r="CA148" t="s">
        <v>344</v>
      </c>
      <c r="CB148">
        <v>5627.3901641479215</v>
      </c>
      <c r="CC148" t="s">
        <v>980</v>
      </c>
    </row>
    <row r="149" spans="1:81">
      <c r="A149" s="57">
        <v>96</v>
      </c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87"/>
      <c r="AE149" s="87"/>
      <c r="AF149" s="88"/>
      <c r="AG149" s="88"/>
      <c r="AH149" s="88"/>
      <c r="AI149" s="88"/>
      <c r="AJ149" s="88"/>
      <c r="AK149" s="88"/>
      <c r="AL149" s="88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77"/>
      <c r="AZ149" s="77"/>
      <c r="BA149" s="77"/>
      <c r="BB149" s="77"/>
      <c r="BC149" s="77"/>
      <c r="BD149" s="77"/>
      <c r="BE149" s="41"/>
      <c r="BF149" s="41"/>
      <c r="BG149" s="77"/>
      <c r="BH149" s="77"/>
      <c r="BI149" s="77"/>
      <c r="BJ149" s="77"/>
      <c r="BK149" s="77"/>
      <c r="BL149" s="77"/>
      <c r="BM149" s="77"/>
      <c r="BN149" s="77">
        <v>0</v>
      </c>
      <c r="BO149" s="77">
        <v>2.6080541828303243</v>
      </c>
      <c r="BP149" s="77">
        <v>6.0854597599374234</v>
      </c>
      <c r="BQ149" s="77">
        <v>10.432216731321278</v>
      </c>
      <c r="BR149" s="77">
        <v>24.341839039749665</v>
      </c>
      <c r="BS149" s="77">
        <v>45.640948199530577</v>
      </c>
      <c r="BT149" s="77">
        <v>20.864433462642555</v>
      </c>
      <c r="BU149" s="77">
        <v>21.299109159780937</v>
      </c>
      <c r="BV149" s="77">
        <v>20.864433462642555</v>
      </c>
      <c r="BW149" s="50">
        <v>152.1364939984353</v>
      </c>
      <c r="BX149" s="60">
        <f>'48hr SPS '!$AZ$53</f>
        <v>15.757379999999998</v>
      </c>
      <c r="BY149" s="57">
        <f t="shared" si="49"/>
        <v>167.89387399843531</v>
      </c>
      <c r="BZ149">
        <v>97</v>
      </c>
      <c r="CA149" t="s">
        <v>345</v>
      </c>
      <c r="CB149">
        <v>5438.547722391133</v>
      </c>
      <c r="CC149" t="s">
        <v>980</v>
      </c>
    </row>
    <row r="150" spans="1:81">
      <c r="A150" s="57">
        <v>97</v>
      </c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88"/>
      <c r="AG150" s="88"/>
      <c r="AH150" s="88"/>
      <c r="AI150" s="88"/>
      <c r="AJ150" s="88"/>
      <c r="AK150" s="88"/>
      <c r="AL150" s="88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77"/>
      <c r="AZ150" s="77"/>
      <c r="BA150" s="77"/>
      <c r="BB150" s="77"/>
      <c r="BC150" s="77"/>
      <c r="BD150" s="77"/>
      <c r="BE150" s="41"/>
      <c r="BF150" s="41"/>
      <c r="BG150" s="77"/>
      <c r="BH150" s="77"/>
      <c r="BI150" s="77"/>
      <c r="BJ150" s="77"/>
      <c r="BK150" s="77"/>
      <c r="BL150" s="77"/>
      <c r="BM150" s="77"/>
      <c r="BN150" s="77"/>
      <c r="BO150" s="77">
        <v>0</v>
      </c>
      <c r="BP150" s="77">
        <v>3.0427298799687117</v>
      </c>
      <c r="BQ150" s="77">
        <v>6.9548111542141973</v>
      </c>
      <c r="BR150" s="77">
        <v>18.25637927981224</v>
      </c>
      <c r="BS150" s="77">
        <v>36.512758559624494</v>
      </c>
      <c r="BT150" s="77">
        <v>17.38702788553546</v>
      </c>
      <c r="BU150" s="77">
        <v>18.25637927981224</v>
      </c>
      <c r="BV150" s="77">
        <v>18.256379279812229</v>
      </c>
      <c r="BW150" s="50">
        <v>118.66646531877956</v>
      </c>
      <c r="BX150" s="60">
        <f>'48hr SPS '!$AZ$53</f>
        <v>15.757379999999998</v>
      </c>
      <c r="BY150" s="57">
        <f t="shared" si="49"/>
        <v>134.42384531877957</v>
      </c>
      <c r="BZ150">
        <v>98</v>
      </c>
      <c r="CA150" t="s">
        <v>346</v>
      </c>
      <c r="CB150">
        <v>5438.547722391133</v>
      </c>
      <c r="CC150" t="s">
        <v>980</v>
      </c>
    </row>
    <row r="151" spans="1:81">
      <c r="A151" s="57">
        <v>98</v>
      </c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88"/>
      <c r="AG151" s="88"/>
      <c r="AH151" s="88"/>
      <c r="AI151" s="88"/>
      <c r="AJ151" s="88"/>
      <c r="AK151" s="88"/>
      <c r="AL151" s="88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77"/>
      <c r="AZ151" s="77"/>
      <c r="BA151" s="77"/>
      <c r="BB151" s="77"/>
      <c r="BC151" s="77"/>
      <c r="BD151" s="77"/>
      <c r="BE151" s="41"/>
      <c r="BF151" s="41"/>
      <c r="BG151" s="77"/>
      <c r="BH151" s="77"/>
      <c r="BI151" s="77"/>
      <c r="BJ151" s="77"/>
      <c r="BK151" s="77"/>
      <c r="BL151" s="77"/>
      <c r="BM151" s="77"/>
      <c r="BN151" s="77"/>
      <c r="BO151" s="77"/>
      <c r="BP151" s="77">
        <v>0</v>
      </c>
      <c r="BQ151" s="77">
        <v>3.4774055771070986</v>
      </c>
      <c r="BR151" s="77">
        <v>12.170919519874847</v>
      </c>
      <c r="BS151" s="77">
        <v>27.384568919718358</v>
      </c>
      <c r="BT151" s="77">
        <v>13.909622308428377</v>
      </c>
      <c r="BU151" s="77">
        <v>15.213649399843529</v>
      </c>
      <c r="BV151" s="77">
        <v>15.648325096981919</v>
      </c>
      <c r="BW151" s="50">
        <v>87.804490821954133</v>
      </c>
      <c r="BX151" s="60">
        <f>'48hr SPS '!$AZ$53</f>
        <v>15.757379999999998</v>
      </c>
      <c r="BY151" s="57">
        <f t="shared" si="49"/>
        <v>103.56187082195413</v>
      </c>
      <c r="BZ151">
        <v>99</v>
      </c>
      <c r="CA151" t="s">
        <v>347</v>
      </c>
      <c r="CB151">
        <v>5438.547722391133</v>
      </c>
      <c r="CC151" t="s">
        <v>980</v>
      </c>
    </row>
    <row r="152" spans="1:81">
      <c r="A152" s="57">
        <v>99</v>
      </c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88"/>
      <c r="AG152" s="88"/>
      <c r="AH152" s="88"/>
      <c r="AI152" s="88"/>
      <c r="AJ152" s="88"/>
      <c r="AK152" s="88"/>
      <c r="AL152" s="88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77"/>
      <c r="AZ152" s="77"/>
      <c r="BA152" s="77"/>
      <c r="BB152" s="77"/>
      <c r="BC152" s="77"/>
      <c r="BD152" s="77"/>
      <c r="BE152" s="41"/>
      <c r="BF152" s="41"/>
      <c r="BG152" s="77"/>
      <c r="BH152" s="77"/>
      <c r="BI152" s="77"/>
      <c r="BJ152" s="77"/>
      <c r="BK152" s="77"/>
      <c r="BL152" s="77"/>
      <c r="BM152" s="77"/>
      <c r="BN152" s="77"/>
      <c r="BO152" s="77"/>
      <c r="BP152" s="77"/>
      <c r="BQ152" s="77">
        <v>0</v>
      </c>
      <c r="BR152" s="77">
        <v>6.0854597599374234</v>
      </c>
      <c r="BS152" s="77">
        <v>18.256379279812268</v>
      </c>
      <c r="BT152" s="77">
        <v>10.432216731321278</v>
      </c>
      <c r="BU152" s="77">
        <v>12.170919519874833</v>
      </c>
      <c r="BV152" s="77">
        <v>13.040270914151595</v>
      </c>
      <c r="BW152" s="50">
        <v>59.985246205097397</v>
      </c>
      <c r="BX152" s="60">
        <f>'48hr SPS '!$AZ$53</f>
        <v>15.757379999999998</v>
      </c>
      <c r="BY152" s="57">
        <f t="shared" si="49"/>
        <v>75.742626205097395</v>
      </c>
      <c r="BZ152">
        <v>100</v>
      </c>
      <c r="CA152" t="s">
        <v>348</v>
      </c>
      <c r="CB152">
        <v>5438.547722391133</v>
      </c>
      <c r="CC152" t="s">
        <v>980</v>
      </c>
    </row>
    <row r="153" spans="1:81">
      <c r="A153" s="57">
        <v>100</v>
      </c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88"/>
      <c r="AG153" s="88"/>
      <c r="AH153" s="88"/>
      <c r="AI153" s="88"/>
      <c r="AJ153" s="88"/>
      <c r="AK153" s="88"/>
      <c r="AL153" s="88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77"/>
      <c r="AZ153" s="77"/>
      <c r="BA153" s="77"/>
      <c r="BB153" s="77"/>
      <c r="BC153" s="77"/>
      <c r="BD153" s="77"/>
      <c r="BE153" s="41"/>
      <c r="BF153" s="41"/>
      <c r="BG153" s="77"/>
      <c r="BH153" s="77"/>
      <c r="BI153" s="77"/>
      <c r="BJ153" s="77"/>
      <c r="BK153" s="77"/>
      <c r="BL153" s="77"/>
      <c r="BM153" s="77"/>
      <c r="BN153" s="77"/>
      <c r="BO153" s="77"/>
      <c r="BP153" s="77"/>
      <c r="BQ153" s="77"/>
      <c r="BR153" s="77">
        <v>0</v>
      </c>
      <c r="BS153" s="77">
        <v>9.1281896399061342</v>
      </c>
      <c r="BT153" s="77">
        <v>6.9548111542141973</v>
      </c>
      <c r="BU153" s="77">
        <v>9.12818963990612</v>
      </c>
      <c r="BV153" s="77">
        <v>10.432216731321285</v>
      </c>
      <c r="BW153" s="50">
        <v>35.643407165347732</v>
      </c>
      <c r="BX153" s="60">
        <f>'48hr SPS '!$AZ$53</f>
        <v>15.757379999999998</v>
      </c>
      <c r="BY153" s="57">
        <f t="shared" si="49"/>
        <v>51.40078716534773</v>
      </c>
      <c r="BZ153">
        <v>101</v>
      </c>
      <c r="CA153" t="s">
        <v>349</v>
      </c>
      <c r="CB153">
        <v>5438.547722391133</v>
      </c>
      <c r="CC153" t="s">
        <v>980</v>
      </c>
    </row>
    <row r="154" spans="1:81">
      <c r="A154" s="57">
        <v>101</v>
      </c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88"/>
      <c r="AG154" s="88"/>
      <c r="AH154" s="88"/>
      <c r="AI154" s="88"/>
      <c r="AJ154" s="88"/>
      <c r="AK154" s="88"/>
      <c r="AL154" s="88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77"/>
      <c r="AZ154" s="77"/>
      <c r="BA154" s="77"/>
      <c r="BB154" s="77"/>
      <c r="BC154" s="77"/>
      <c r="BD154" s="77"/>
      <c r="BE154" s="41"/>
      <c r="BF154" s="41"/>
      <c r="BG154" s="77"/>
      <c r="BH154" s="77"/>
      <c r="BI154" s="77"/>
      <c r="BJ154" s="77"/>
      <c r="BK154" s="77"/>
      <c r="BL154" s="77"/>
      <c r="BM154" s="77"/>
      <c r="BN154" s="77"/>
      <c r="BO154" s="77"/>
      <c r="BP154" s="77"/>
      <c r="BQ154" s="77"/>
      <c r="BR154" s="77"/>
      <c r="BS154" s="77">
        <v>0</v>
      </c>
      <c r="BT154" s="77">
        <v>3.4774055771070986</v>
      </c>
      <c r="BU154" s="77">
        <v>6.0854597599374234</v>
      </c>
      <c r="BV154" s="77">
        <v>7.8241625484909596</v>
      </c>
      <c r="BW154" s="50">
        <v>17.387027885535481</v>
      </c>
      <c r="BX154" s="60">
        <f>'48hr SPS '!$AZ$53</f>
        <v>15.757379999999998</v>
      </c>
      <c r="BY154" s="57">
        <f t="shared" si="49"/>
        <v>33.144407885535479</v>
      </c>
      <c r="BZ154">
        <v>102</v>
      </c>
      <c r="CA154" t="s">
        <v>350</v>
      </c>
      <c r="CB154">
        <v>5438.547722391133</v>
      </c>
      <c r="CC154" t="s">
        <v>980</v>
      </c>
    </row>
    <row r="155" spans="1:81">
      <c r="A155" s="57">
        <v>102</v>
      </c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88"/>
      <c r="AG155" s="88"/>
      <c r="AH155" s="88"/>
      <c r="AI155" s="88"/>
      <c r="AJ155" s="88"/>
      <c r="AK155" s="88"/>
      <c r="AL155" s="88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77"/>
      <c r="AZ155" s="77"/>
      <c r="BA155" s="77"/>
      <c r="BB155" s="77"/>
      <c r="BC155" s="77"/>
      <c r="BD155" s="77"/>
      <c r="BE155" s="41"/>
      <c r="BF155" s="41"/>
      <c r="BG155" s="77"/>
      <c r="BH155" s="77"/>
      <c r="BI155" s="77"/>
      <c r="BJ155" s="77"/>
      <c r="BK155" s="77"/>
      <c r="BL155" s="77"/>
      <c r="BM155" s="77"/>
      <c r="BN155" s="77"/>
      <c r="BO155" s="77"/>
      <c r="BP155" s="77"/>
      <c r="BQ155" s="77"/>
      <c r="BR155" s="77"/>
      <c r="BS155" s="77"/>
      <c r="BT155" s="77">
        <v>0</v>
      </c>
      <c r="BU155" s="77">
        <v>3.0427298799687117</v>
      </c>
      <c r="BV155" s="77">
        <v>5.2161083656606486</v>
      </c>
      <c r="BW155" s="50">
        <v>8.2588382456293594</v>
      </c>
      <c r="BX155" s="60">
        <f>'48hr SPS '!$AZ$53</f>
        <v>15.757379999999998</v>
      </c>
      <c r="BY155" s="57">
        <f t="shared" si="49"/>
        <v>24.016218245629357</v>
      </c>
      <c r="BZ155">
        <v>103</v>
      </c>
      <c r="CA155" t="s">
        <v>351</v>
      </c>
      <c r="CB155">
        <v>5438.547722391133</v>
      </c>
      <c r="CC155" t="s">
        <v>980</v>
      </c>
    </row>
    <row r="156" spans="1:81">
      <c r="A156" s="57">
        <v>103</v>
      </c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88"/>
      <c r="AG156" s="88"/>
      <c r="AH156" s="88"/>
      <c r="AI156" s="88"/>
      <c r="AJ156" s="88"/>
      <c r="AK156" s="88"/>
      <c r="AL156" s="88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77"/>
      <c r="AZ156" s="77"/>
      <c r="BA156" s="77"/>
      <c r="BB156" s="77"/>
      <c r="BC156" s="77"/>
      <c r="BD156" s="77"/>
      <c r="BE156" s="41"/>
      <c r="BF156" s="41"/>
      <c r="BG156" s="77"/>
      <c r="BH156" s="77"/>
      <c r="BI156" s="77"/>
      <c r="BJ156" s="77"/>
      <c r="BK156" s="77"/>
      <c r="BL156" s="77"/>
      <c r="BM156" s="77"/>
      <c r="BN156" s="77"/>
      <c r="BO156" s="77"/>
      <c r="BP156" s="77"/>
      <c r="BQ156" s="77"/>
      <c r="BR156" s="77"/>
      <c r="BS156" s="77"/>
      <c r="BT156" s="77"/>
      <c r="BU156" s="77">
        <v>0</v>
      </c>
      <c r="BV156" s="77">
        <v>2.6080541828303243</v>
      </c>
      <c r="BW156" s="50">
        <v>2.6080541828303243</v>
      </c>
      <c r="BX156" s="60">
        <f>'48hr SPS '!$AZ$53</f>
        <v>15.757379999999998</v>
      </c>
      <c r="BY156" s="57">
        <f t="shared" si="49"/>
        <v>18.36543418283032</v>
      </c>
      <c r="BZ156">
        <v>104</v>
      </c>
      <c r="CA156" t="s">
        <v>352</v>
      </c>
      <c r="CB156">
        <v>5438.547722391133</v>
      </c>
      <c r="CC156" t="s">
        <v>980</v>
      </c>
    </row>
    <row r="157" spans="1:81">
      <c r="A157" s="57">
        <v>104</v>
      </c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88"/>
      <c r="AG157" s="88"/>
      <c r="AH157" s="88"/>
      <c r="AI157" s="88"/>
      <c r="AJ157" s="88"/>
      <c r="AK157" s="88"/>
      <c r="AL157" s="88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77"/>
      <c r="AZ157" s="77"/>
      <c r="BA157" s="77"/>
      <c r="BB157" s="77"/>
      <c r="BC157" s="77"/>
      <c r="BD157" s="77"/>
      <c r="BE157" s="41"/>
      <c r="BF157" s="41"/>
      <c r="BG157" s="77"/>
      <c r="BH157" s="77"/>
      <c r="BI157" s="77"/>
      <c r="BJ157" s="77"/>
      <c r="BK157" s="77"/>
      <c r="BL157" s="77"/>
      <c r="BM157" s="77"/>
      <c r="BN157" s="77"/>
      <c r="BO157" s="77"/>
      <c r="BP157" s="77"/>
      <c r="BQ157" s="77"/>
      <c r="BR157" s="77"/>
      <c r="BS157" s="77"/>
      <c r="BT157" s="77"/>
      <c r="BU157" s="77"/>
      <c r="BV157" s="77">
        <v>0</v>
      </c>
      <c r="BW157" s="50">
        <v>0</v>
      </c>
      <c r="BX157" s="60">
        <f>'48hr SPS '!$AZ$53</f>
        <v>15.757379999999998</v>
      </c>
      <c r="BY157" s="57">
        <f t="shared" si="49"/>
        <v>15.757379999999998</v>
      </c>
      <c r="BZ157">
        <v>105</v>
      </c>
      <c r="CA157" t="s">
        <v>353</v>
      </c>
      <c r="CB157">
        <v>5438.547722391133</v>
      </c>
      <c r="CC157" t="s">
        <v>980</v>
      </c>
    </row>
    <row r="158" spans="1:81">
      <c r="A158" s="57">
        <v>105</v>
      </c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88"/>
      <c r="AG158" s="88"/>
      <c r="AH158" s="88"/>
      <c r="AI158" s="88"/>
      <c r="AJ158" s="88"/>
      <c r="AK158" s="88"/>
      <c r="AL158" s="88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77"/>
      <c r="AZ158" s="77"/>
      <c r="BA158" s="77"/>
      <c r="BB158" s="77"/>
      <c r="BC158" s="77"/>
      <c r="BD158" s="77"/>
      <c r="BE158" s="41"/>
      <c r="BF158" s="41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W158" s="50"/>
      <c r="BX158" s="60"/>
      <c r="BY158" s="57"/>
      <c r="BZ158">
        <v>106</v>
      </c>
      <c r="CA158" t="s">
        <v>354</v>
      </c>
      <c r="CB158">
        <v>5438.547722391133</v>
      </c>
      <c r="CC158" t="s">
        <v>980</v>
      </c>
    </row>
    <row r="159" spans="1:81">
      <c r="A159" s="57">
        <v>106</v>
      </c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77"/>
      <c r="AZ159" s="77"/>
      <c r="BA159" s="77"/>
      <c r="BB159" s="77"/>
      <c r="BC159" s="77"/>
      <c r="BD159" s="77"/>
      <c r="BE159" s="41"/>
      <c r="BF159" s="41"/>
      <c r="BG159" s="77"/>
      <c r="BH159" s="77"/>
      <c r="BI159" s="77"/>
      <c r="BJ159" s="77"/>
      <c r="BK159" s="77"/>
      <c r="BL159" s="77"/>
      <c r="BM159" s="77"/>
      <c r="BN159" s="77"/>
      <c r="BO159" s="77"/>
      <c r="BP159" s="77"/>
      <c r="BQ159" s="77"/>
      <c r="BR159" s="77"/>
      <c r="BS159" s="77"/>
      <c r="BT159" s="77"/>
      <c r="BU159" s="77"/>
      <c r="BV159" s="77"/>
      <c r="BW159" s="50"/>
      <c r="BX159" s="60"/>
      <c r="BY159" s="57"/>
      <c r="BZ159">
        <v>107</v>
      </c>
      <c r="CA159" t="s">
        <v>355</v>
      </c>
      <c r="CB159">
        <v>5438.547722391133</v>
      </c>
      <c r="CC159" t="s">
        <v>980</v>
      </c>
    </row>
    <row r="160" spans="1:81">
      <c r="A160" s="57">
        <v>107</v>
      </c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77"/>
      <c r="AZ160" s="77"/>
      <c r="BA160" s="77"/>
      <c r="BB160" s="77"/>
      <c r="BC160" s="77"/>
      <c r="BD160" s="77"/>
      <c r="BE160" s="41"/>
      <c r="BF160" s="41"/>
      <c r="BG160" s="77"/>
      <c r="BH160" s="77"/>
      <c r="BI160" s="77"/>
      <c r="BJ160" s="77"/>
      <c r="BK160" s="77"/>
      <c r="BL160" s="77"/>
      <c r="BM160" s="77"/>
      <c r="BN160" s="77"/>
      <c r="BO160" s="77"/>
      <c r="BP160" s="77"/>
      <c r="BQ160" s="77"/>
      <c r="BR160" s="77"/>
      <c r="BS160" s="77"/>
      <c r="BT160" s="77"/>
      <c r="BU160" s="77"/>
      <c r="BV160" s="77"/>
      <c r="BW160" s="50"/>
      <c r="BX160" s="60"/>
      <c r="BY160" s="57"/>
      <c r="BZ160">
        <v>108</v>
      </c>
      <c r="CA160" t="s">
        <v>356</v>
      </c>
      <c r="CB160">
        <v>5438.547722391133</v>
      </c>
      <c r="CC160" t="s">
        <v>980</v>
      </c>
    </row>
    <row r="161" spans="1:81">
      <c r="A161" s="57">
        <v>108</v>
      </c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77"/>
      <c r="AZ161" s="77"/>
      <c r="BA161" s="77"/>
      <c r="BB161" s="77"/>
      <c r="BC161" s="77"/>
      <c r="BD161" s="77"/>
      <c r="BE161" s="41"/>
      <c r="BF161" s="41"/>
      <c r="BG161" s="77"/>
      <c r="BH161" s="77"/>
      <c r="BI161" s="77"/>
      <c r="BJ161" s="77"/>
      <c r="BK161" s="77"/>
      <c r="BL161" s="77"/>
      <c r="BM161" s="77"/>
      <c r="BN161" s="77"/>
      <c r="BO161" s="77"/>
      <c r="BP161" s="77"/>
      <c r="BQ161" s="77"/>
      <c r="BR161" s="77"/>
      <c r="BS161" s="77"/>
      <c r="BT161" s="77"/>
      <c r="BU161" s="77"/>
      <c r="BV161" s="77"/>
      <c r="BW161" s="50"/>
      <c r="BX161" s="60"/>
      <c r="BY161" s="57"/>
      <c r="BZ161">
        <v>109</v>
      </c>
      <c r="CA161" t="s">
        <v>357</v>
      </c>
      <c r="CB161">
        <v>5438.547722391133</v>
      </c>
      <c r="CC161" t="s">
        <v>980</v>
      </c>
    </row>
    <row r="162" spans="1:81">
      <c r="A162" s="57">
        <v>109</v>
      </c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77"/>
      <c r="AZ162" s="77"/>
      <c r="BA162" s="77"/>
      <c r="BB162" s="77"/>
      <c r="BC162" s="77"/>
      <c r="BD162" s="77"/>
      <c r="BE162" s="41"/>
      <c r="BF162" s="41"/>
      <c r="BG162" s="77"/>
      <c r="BH162" s="77"/>
      <c r="BI162" s="77"/>
      <c r="BJ162" s="77"/>
      <c r="BK162" s="77"/>
      <c r="BL162" s="77"/>
      <c r="BM162" s="77"/>
      <c r="BN162" s="77"/>
      <c r="BO162" s="77"/>
      <c r="BP162" s="77"/>
      <c r="BQ162" s="77"/>
      <c r="BR162" s="77"/>
      <c r="BS162" s="77"/>
      <c r="BT162" s="77"/>
      <c r="BU162" s="77"/>
      <c r="BV162" s="77"/>
      <c r="BW162" s="50"/>
      <c r="BX162" s="60"/>
      <c r="BY162" s="57"/>
      <c r="BZ162">
        <v>110</v>
      </c>
      <c r="CA162" t="s">
        <v>358</v>
      </c>
      <c r="CB162">
        <v>5438.547722391133</v>
      </c>
      <c r="CC162" t="s">
        <v>980</v>
      </c>
    </row>
    <row r="163" spans="1:81">
      <c r="A163" s="57">
        <v>110</v>
      </c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77"/>
      <c r="AZ163" s="77"/>
      <c r="BA163" s="77"/>
      <c r="BB163" s="77"/>
      <c r="BC163" s="77"/>
      <c r="BD163" s="77"/>
      <c r="BE163" s="41"/>
      <c r="BF163" s="41"/>
      <c r="BG163" s="77"/>
      <c r="BH163" s="77"/>
      <c r="BI163" s="77"/>
      <c r="BJ163" s="77"/>
      <c r="BK163" s="77"/>
      <c r="BL163" s="77"/>
      <c r="BM163" s="77"/>
      <c r="BN163" s="77"/>
      <c r="BO163" s="77"/>
      <c r="BP163" s="77"/>
      <c r="BQ163" s="77"/>
      <c r="BR163" s="77"/>
      <c r="BS163" s="77"/>
      <c r="BT163" s="77"/>
      <c r="BU163" s="77"/>
      <c r="BV163" s="77"/>
      <c r="BW163" s="50"/>
      <c r="BX163" s="60"/>
      <c r="BY163" s="57"/>
      <c r="BZ163">
        <v>111</v>
      </c>
      <c r="CA163" t="s">
        <v>359</v>
      </c>
      <c r="CB163">
        <v>5438.547722391133</v>
      </c>
      <c r="CC163" t="s">
        <v>980</v>
      </c>
    </row>
    <row r="164" spans="1:81">
      <c r="A164" s="57">
        <v>111</v>
      </c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77"/>
      <c r="AZ164" s="77"/>
      <c r="BA164" s="77"/>
      <c r="BB164" s="77"/>
      <c r="BC164" s="77"/>
      <c r="BD164" s="77"/>
      <c r="BE164" s="41"/>
      <c r="BF164" s="41"/>
      <c r="BG164" s="77"/>
      <c r="BH164" s="77"/>
      <c r="BI164" s="77"/>
      <c r="BJ164" s="77"/>
      <c r="BK164" s="77"/>
      <c r="BL164" s="77"/>
      <c r="BM164" s="77"/>
      <c r="BN164" s="77"/>
      <c r="BO164" s="77"/>
      <c r="BP164" s="77"/>
      <c r="BQ164" s="77"/>
      <c r="BR164" s="77"/>
      <c r="BS164" s="77"/>
      <c r="BT164" s="77"/>
      <c r="BU164" s="77"/>
      <c r="BV164" s="77"/>
      <c r="BW164" s="50"/>
      <c r="BX164" s="60"/>
      <c r="BY164" s="57"/>
      <c r="BZ164">
        <v>112</v>
      </c>
      <c r="CA164" t="s">
        <v>360</v>
      </c>
      <c r="CB164">
        <v>5438.547722391133</v>
      </c>
      <c r="CC164" t="s">
        <v>980</v>
      </c>
    </row>
    <row r="165" spans="1:81">
      <c r="A165" s="57">
        <v>112</v>
      </c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41"/>
      <c r="AU165" s="41"/>
      <c r="AV165" s="41"/>
      <c r="AW165" s="41"/>
      <c r="AX165" s="41"/>
      <c r="AY165" s="77"/>
      <c r="AZ165" s="77"/>
      <c r="BA165" s="77"/>
      <c r="BB165" s="77"/>
      <c r="BC165" s="77"/>
      <c r="BD165" s="77"/>
      <c r="BE165" s="41"/>
      <c r="BF165" s="41"/>
      <c r="BG165" s="77"/>
      <c r="BH165" s="77"/>
      <c r="BI165" s="77"/>
      <c r="BJ165" s="77"/>
      <c r="BK165" s="77"/>
      <c r="BL165" s="77"/>
      <c r="BM165" s="77"/>
      <c r="BN165" s="77"/>
      <c r="BO165" s="77"/>
      <c r="BP165" s="77"/>
      <c r="BQ165" s="77"/>
      <c r="BR165" s="77"/>
      <c r="BS165" s="77"/>
      <c r="BT165" s="77"/>
      <c r="BU165" s="77"/>
      <c r="BV165" s="77"/>
      <c r="BW165" s="50"/>
      <c r="BX165" s="60"/>
      <c r="BY165" s="57"/>
      <c r="BZ165">
        <v>113</v>
      </c>
      <c r="CA165" t="s">
        <v>361</v>
      </c>
      <c r="CB165">
        <v>5438.547722391133</v>
      </c>
      <c r="CC165" t="s">
        <v>980</v>
      </c>
    </row>
    <row r="166" spans="1:81">
      <c r="A166" s="57">
        <v>113</v>
      </c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41"/>
      <c r="AU166" s="41"/>
      <c r="AV166" s="41"/>
      <c r="AW166" s="41"/>
      <c r="AX166" s="41"/>
      <c r="AY166" s="77"/>
      <c r="AZ166" s="77"/>
      <c r="BA166" s="77"/>
      <c r="BB166" s="77"/>
      <c r="BC166" s="77"/>
      <c r="BD166" s="77"/>
      <c r="BE166" s="41"/>
      <c r="BF166" s="41"/>
      <c r="BG166" s="77"/>
      <c r="BH166" s="77"/>
      <c r="BI166" s="77"/>
      <c r="BJ166" s="77"/>
      <c r="BK166" s="77"/>
      <c r="BL166" s="77"/>
      <c r="BM166" s="77"/>
      <c r="BN166" s="77"/>
      <c r="BO166" s="77"/>
      <c r="BP166" s="77"/>
      <c r="BQ166" s="77"/>
      <c r="BR166" s="77"/>
      <c r="BS166" s="77"/>
      <c r="BT166" s="77"/>
      <c r="BU166" s="77"/>
      <c r="BV166" s="77"/>
      <c r="BW166" s="50"/>
      <c r="BX166" s="60"/>
      <c r="BY166" s="57"/>
      <c r="BZ166">
        <v>114</v>
      </c>
      <c r="CA166" t="s">
        <v>362</v>
      </c>
      <c r="CB166">
        <v>5438.547722391133</v>
      </c>
      <c r="CC166" t="s">
        <v>980</v>
      </c>
    </row>
    <row r="167" spans="1:81">
      <c r="A167" s="57">
        <v>114</v>
      </c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41"/>
      <c r="AU167" s="41"/>
      <c r="AV167" s="41"/>
      <c r="AW167" s="41"/>
      <c r="AX167" s="41"/>
      <c r="AY167" s="77"/>
      <c r="AZ167" s="77"/>
      <c r="BA167" s="77"/>
      <c r="BB167" s="77"/>
      <c r="BC167" s="77"/>
      <c r="BD167" s="77"/>
      <c r="BE167" s="41"/>
      <c r="BF167" s="41"/>
      <c r="BG167" s="77"/>
      <c r="BH167" s="77"/>
      <c r="BI167" s="77"/>
      <c r="BJ167" s="77"/>
      <c r="BK167" s="77"/>
      <c r="BL167" s="77"/>
      <c r="BM167" s="77"/>
      <c r="BN167" s="77"/>
      <c r="BO167" s="77"/>
      <c r="BP167" s="77"/>
      <c r="BQ167" s="77"/>
      <c r="BR167" s="77"/>
      <c r="BS167" s="77"/>
      <c r="BT167" s="77"/>
      <c r="BU167" s="77"/>
      <c r="BV167" s="77"/>
      <c r="BW167" s="50"/>
      <c r="BX167" s="60"/>
      <c r="BY167" s="57"/>
      <c r="BZ167">
        <v>115</v>
      </c>
      <c r="CA167" t="s">
        <v>363</v>
      </c>
      <c r="CB167">
        <v>5438.547722391133</v>
      </c>
      <c r="CC167" t="s">
        <v>980</v>
      </c>
    </row>
    <row r="168" spans="1:81">
      <c r="A168" s="57">
        <v>115</v>
      </c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41"/>
      <c r="AU168" s="41"/>
      <c r="AV168" s="41"/>
      <c r="AW168" s="41"/>
      <c r="AX168" s="41"/>
      <c r="AY168" s="77"/>
      <c r="AZ168" s="77"/>
      <c r="BA168" s="77"/>
      <c r="BB168" s="77"/>
      <c r="BC168" s="77"/>
      <c r="BD168" s="77"/>
      <c r="BE168" s="41"/>
      <c r="BF168" s="41"/>
      <c r="BG168" s="77"/>
      <c r="BH168" s="77"/>
      <c r="BI168" s="77"/>
      <c r="BJ168" s="77"/>
      <c r="BK168" s="77"/>
      <c r="BL168" s="77"/>
      <c r="BM168" s="77"/>
      <c r="BN168" s="77"/>
      <c r="BO168" s="77"/>
      <c r="BP168" s="77"/>
      <c r="BQ168" s="77"/>
      <c r="BR168" s="77"/>
      <c r="BS168" s="77"/>
      <c r="BT168" s="77"/>
      <c r="BU168" s="77"/>
      <c r="BV168" s="77"/>
      <c r="BW168" s="50"/>
      <c r="BX168" s="60"/>
      <c r="BY168" s="57"/>
      <c r="BZ168">
        <v>116</v>
      </c>
      <c r="CA168" t="s">
        <v>364</v>
      </c>
      <c r="CB168">
        <v>5438.547722391133</v>
      </c>
      <c r="CC168" t="s">
        <v>980</v>
      </c>
    </row>
    <row r="169" spans="1:81">
      <c r="A169" s="57">
        <v>116</v>
      </c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41"/>
      <c r="AU169" s="41"/>
      <c r="AV169" s="41"/>
      <c r="AW169" s="41"/>
      <c r="AX169" s="41"/>
      <c r="AY169" s="77"/>
      <c r="AZ169" s="77"/>
      <c r="BA169" s="77"/>
      <c r="BB169" s="77"/>
      <c r="BC169" s="77"/>
      <c r="BD169" s="77"/>
      <c r="BE169" s="41"/>
      <c r="BF169" s="41"/>
      <c r="BG169" s="77"/>
      <c r="BH169" s="77"/>
      <c r="BI169" s="77"/>
      <c r="BJ169" s="77"/>
      <c r="BK169" s="77"/>
      <c r="BL169" s="77"/>
      <c r="BM169" s="77"/>
      <c r="BN169" s="77"/>
      <c r="BO169" s="77"/>
      <c r="BP169" s="77"/>
      <c r="BQ169" s="77"/>
      <c r="BR169" s="77"/>
      <c r="BS169" s="77"/>
      <c r="BT169" s="77"/>
      <c r="BU169" s="77"/>
      <c r="BV169" s="77"/>
      <c r="BW169" s="50"/>
      <c r="BX169" s="60"/>
      <c r="BY169" s="57"/>
      <c r="BZ169">
        <v>117</v>
      </c>
      <c r="CA169" t="s">
        <v>365</v>
      </c>
      <c r="CB169">
        <v>5438.547722391133</v>
      </c>
      <c r="CC169" t="s">
        <v>980</v>
      </c>
    </row>
    <row r="170" spans="1:81">
      <c r="A170" s="57">
        <v>117</v>
      </c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77"/>
      <c r="AZ170" s="77"/>
      <c r="BA170" s="77"/>
      <c r="BB170" s="77"/>
      <c r="BC170" s="77"/>
      <c r="BD170" s="77"/>
      <c r="BE170" s="41"/>
      <c r="BF170" s="41"/>
      <c r="BG170" s="77"/>
      <c r="BH170" s="77"/>
      <c r="BI170" s="77"/>
      <c r="BJ170" s="77"/>
      <c r="BK170" s="77"/>
      <c r="BL170" s="77"/>
      <c r="BM170" s="77"/>
      <c r="BN170" s="77"/>
      <c r="BO170" s="77"/>
      <c r="BP170" s="77"/>
      <c r="BQ170" s="77"/>
      <c r="BR170" s="77"/>
      <c r="BS170" s="77"/>
      <c r="BT170" s="77"/>
      <c r="BU170" s="77"/>
      <c r="BV170" s="77"/>
      <c r="BW170" s="50"/>
      <c r="BX170" s="60"/>
      <c r="BY170" s="57"/>
      <c r="BZ170">
        <v>118</v>
      </c>
      <c r="CA170" t="s">
        <v>366</v>
      </c>
      <c r="CB170">
        <v>5438.547722391133</v>
      </c>
      <c r="CC170" t="s">
        <v>980</v>
      </c>
    </row>
    <row r="171" spans="1:81">
      <c r="A171" s="57">
        <v>118</v>
      </c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77"/>
      <c r="AZ171" s="77"/>
      <c r="BA171" s="77"/>
      <c r="BB171" s="77"/>
      <c r="BC171" s="77"/>
      <c r="BD171" s="77"/>
      <c r="BE171" s="41"/>
      <c r="BF171" s="41"/>
      <c r="BG171" s="77"/>
      <c r="BH171" s="77"/>
      <c r="BI171" s="77"/>
      <c r="BJ171" s="77"/>
      <c r="BK171" s="77"/>
      <c r="BL171" s="77"/>
      <c r="BM171" s="77"/>
      <c r="BN171" s="77"/>
      <c r="BO171" s="77"/>
      <c r="BP171" s="77"/>
      <c r="BQ171" s="77"/>
      <c r="BR171" s="77"/>
      <c r="BS171" s="77"/>
      <c r="BT171" s="77"/>
      <c r="BU171" s="77"/>
      <c r="BV171" s="77"/>
      <c r="BW171" s="50"/>
      <c r="BX171" s="60"/>
      <c r="BY171" s="57"/>
      <c r="BZ171">
        <v>119</v>
      </c>
      <c r="CA171" t="s">
        <v>367</v>
      </c>
      <c r="CB171">
        <v>5438.547722391133</v>
      </c>
      <c r="CC171" t="s">
        <v>980</v>
      </c>
    </row>
    <row r="172" spans="1:81">
      <c r="A172" s="57">
        <v>119</v>
      </c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77"/>
      <c r="AZ172" s="77"/>
      <c r="BA172" s="77"/>
      <c r="BB172" s="77"/>
      <c r="BC172" s="77"/>
      <c r="BD172" s="77"/>
      <c r="BE172" s="41"/>
      <c r="BF172" s="41"/>
      <c r="BG172" s="77"/>
      <c r="BH172" s="77"/>
      <c r="BI172" s="77"/>
      <c r="BJ172" s="77"/>
      <c r="BK172" s="77"/>
      <c r="BL172" s="77"/>
      <c r="BM172" s="77"/>
      <c r="BN172" s="77"/>
      <c r="BO172" s="77"/>
      <c r="BP172" s="77"/>
      <c r="BQ172" s="77"/>
      <c r="BR172" s="77"/>
      <c r="BS172" s="77"/>
      <c r="BT172" s="77"/>
      <c r="BU172" s="77"/>
      <c r="BV172" s="77"/>
      <c r="BW172" s="50"/>
      <c r="BX172" s="60"/>
      <c r="BY172" s="57"/>
      <c r="BZ172">
        <v>120</v>
      </c>
      <c r="CA172" t="s">
        <v>368</v>
      </c>
      <c r="CB172">
        <v>5438.547722391133</v>
      </c>
      <c r="CC172" t="s">
        <v>980</v>
      </c>
    </row>
    <row r="173" spans="1:81">
      <c r="A173" s="57">
        <v>120</v>
      </c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77"/>
      <c r="AZ173" s="77"/>
      <c r="BA173" s="77"/>
      <c r="BB173" s="77"/>
      <c r="BC173" s="77"/>
      <c r="BD173" s="77"/>
      <c r="BE173" s="41"/>
      <c r="BF173" s="41"/>
      <c r="BG173" s="77"/>
      <c r="BH173" s="77"/>
      <c r="BI173" s="77"/>
      <c r="BJ173" s="77"/>
      <c r="BK173" s="77"/>
      <c r="BL173" s="77"/>
      <c r="BM173" s="77"/>
      <c r="BN173" s="77"/>
      <c r="BO173" s="77"/>
      <c r="BP173" s="77"/>
      <c r="BQ173" s="77"/>
      <c r="BR173" s="77"/>
      <c r="BS173" s="77"/>
      <c r="BT173" s="77"/>
      <c r="BU173" s="77"/>
      <c r="BV173" s="77"/>
      <c r="BW173" s="50"/>
      <c r="BX173" s="60"/>
      <c r="BY173" s="57"/>
      <c r="BZ173">
        <v>121</v>
      </c>
      <c r="CA173" t="s">
        <v>369</v>
      </c>
      <c r="CB173">
        <v>6224.8557003318365</v>
      </c>
      <c r="CC173" t="s">
        <v>981</v>
      </c>
    </row>
    <row r="174" spans="1:81">
      <c r="A174" s="57">
        <v>121</v>
      </c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77"/>
      <c r="AZ174" s="77"/>
      <c r="BA174" s="77"/>
      <c r="BB174" s="77"/>
      <c r="BC174" s="77"/>
      <c r="BD174" s="77"/>
      <c r="BE174" s="41"/>
      <c r="BF174" s="41"/>
      <c r="BG174" s="77"/>
      <c r="BH174" s="77"/>
      <c r="BI174" s="77"/>
      <c r="BJ174" s="77"/>
      <c r="BK174" s="77"/>
      <c r="BL174" s="77"/>
      <c r="BM174" s="77"/>
      <c r="BN174" s="77"/>
      <c r="BO174" s="77"/>
      <c r="BP174" s="77"/>
      <c r="BQ174" s="77"/>
      <c r="BR174" s="77"/>
      <c r="BS174" s="77"/>
      <c r="BT174" s="77"/>
      <c r="BU174" s="77"/>
      <c r="BV174" s="77"/>
      <c r="BW174" s="50"/>
      <c r="BX174" s="60"/>
      <c r="BY174" s="57"/>
      <c r="BZ174">
        <v>122</v>
      </c>
      <c r="CA174" t="s">
        <v>370</v>
      </c>
      <c r="CB174">
        <v>6224.8557003318365</v>
      </c>
      <c r="CC174" t="s">
        <v>981</v>
      </c>
    </row>
    <row r="175" spans="1:81">
      <c r="A175" s="57">
        <v>122</v>
      </c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77"/>
      <c r="AZ175" s="77"/>
      <c r="BA175" s="77"/>
      <c r="BB175" s="77"/>
      <c r="BC175" s="77"/>
      <c r="BD175" s="77"/>
      <c r="BE175" s="41"/>
      <c r="BF175" s="41"/>
      <c r="BG175" s="77"/>
      <c r="BH175" s="77"/>
      <c r="BI175" s="77"/>
      <c r="BJ175" s="77"/>
      <c r="BK175" s="77"/>
      <c r="BL175" s="77"/>
      <c r="BM175" s="77"/>
      <c r="BN175" s="77"/>
      <c r="BO175" s="77"/>
      <c r="BP175" s="77"/>
      <c r="BQ175" s="77"/>
      <c r="BR175" s="77"/>
      <c r="BS175" s="77"/>
      <c r="BT175" s="77"/>
      <c r="BU175" s="77"/>
      <c r="BV175" s="77"/>
      <c r="BW175" s="50"/>
      <c r="BX175" s="60"/>
      <c r="BY175" s="57"/>
      <c r="BZ175">
        <v>123</v>
      </c>
      <c r="CA175" t="s">
        <v>371</v>
      </c>
      <c r="CB175">
        <v>6224.8557003318365</v>
      </c>
      <c r="CC175" t="s">
        <v>981</v>
      </c>
    </row>
    <row r="176" spans="1:81">
      <c r="A176" s="57">
        <v>123</v>
      </c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77"/>
      <c r="AZ176" s="77"/>
      <c r="BA176" s="77"/>
      <c r="BB176" s="77"/>
      <c r="BC176" s="77"/>
      <c r="BD176" s="77"/>
      <c r="BE176" s="41"/>
      <c r="BF176" s="41"/>
      <c r="BG176" s="77"/>
      <c r="BH176" s="77"/>
      <c r="BI176" s="77"/>
      <c r="BJ176" s="77"/>
      <c r="BK176" s="77"/>
      <c r="BL176" s="77"/>
      <c r="BM176" s="77"/>
      <c r="BN176" s="77"/>
      <c r="BO176" s="77"/>
      <c r="BP176" s="77"/>
      <c r="BQ176" s="77"/>
      <c r="BR176" s="77"/>
      <c r="BS176" s="77"/>
      <c r="BT176" s="77"/>
      <c r="BU176" s="77"/>
      <c r="BV176" s="77"/>
      <c r="BW176" s="50"/>
      <c r="BX176" s="60"/>
      <c r="BY176" s="57"/>
      <c r="BZ176">
        <v>124</v>
      </c>
      <c r="CA176" t="s">
        <v>372</v>
      </c>
      <c r="CB176">
        <v>6224.8557003318365</v>
      </c>
      <c r="CC176" t="s">
        <v>981</v>
      </c>
    </row>
    <row r="177" spans="1:81">
      <c r="A177" s="57">
        <v>124</v>
      </c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77"/>
      <c r="AZ177" s="77"/>
      <c r="BA177" s="77"/>
      <c r="BB177" s="77"/>
      <c r="BC177" s="77"/>
      <c r="BD177" s="77"/>
      <c r="BE177" s="41"/>
      <c r="BF177" s="41"/>
      <c r="BG177" s="77"/>
      <c r="BH177" s="77"/>
      <c r="BI177" s="77"/>
      <c r="BJ177" s="77"/>
      <c r="BK177" s="77"/>
      <c r="BL177" s="77"/>
      <c r="BM177" s="77"/>
      <c r="BN177" s="77"/>
      <c r="BO177" s="77"/>
      <c r="BP177" s="77"/>
      <c r="BQ177" s="77"/>
      <c r="BR177" s="77"/>
      <c r="BS177" s="77"/>
      <c r="BT177" s="77"/>
      <c r="BU177" s="77"/>
      <c r="BV177" s="77"/>
      <c r="BW177" s="50"/>
      <c r="BX177" s="60"/>
      <c r="BY177" s="57"/>
      <c r="BZ177">
        <v>125</v>
      </c>
      <c r="CA177" t="s">
        <v>373</v>
      </c>
      <c r="CB177">
        <v>6224.8557003318365</v>
      </c>
      <c r="CC177" t="s">
        <v>981</v>
      </c>
    </row>
    <row r="178" spans="1:81">
      <c r="A178" s="57">
        <v>125</v>
      </c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41"/>
      <c r="BF178" s="41"/>
      <c r="BG178" s="77"/>
      <c r="BH178" s="77"/>
      <c r="BI178" s="77"/>
      <c r="BJ178" s="77"/>
      <c r="BK178" s="77"/>
      <c r="BL178" s="77"/>
      <c r="BM178" s="77"/>
      <c r="BN178" s="77"/>
      <c r="BO178" s="77"/>
      <c r="BP178" s="77"/>
      <c r="BQ178" s="77"/>
      <c r="BR178" s="77"/>
      <c r="BS178" s="77"/>
      <c r="BT178" s="77"/>
      <c r="BU178" s="77"/>
      <c r="BV178" s="77"/>
      <c r="BW178" s="50"/>
      <c r="BX178" s="60"/>
      <c r="BY178" s="57"/>
      <c r="BZ178">
        <v>126</v>
      </c>
      <c r="CA178" t="s">
        <v>374</v>
      </c>
      <c r="CB178">
        <v>6224.8557003318365</v>
      </c>
      <c r="CC178" t="s">
        <v>981</v>
      </c>
    </row>
    <row r="179" spans="1:81">
      <c r="A179" s="57">
        <v>126</v>
      </c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77"/>
      <c r="BI179" s="77"/>
      <c r="BJ179" s="77"/>
      <c r="BK179" s="77"/>
      <c r="BL179" s="77"/>
      <c r="BM179" s="77"/>
      <c r="BN179" s="77"/>
      <c r="BO179" s="77"/>
      <c r="BP179" s="77"/>
      <c r="BQ179" s="77"/>
      <c r="BR179" s="77"/>
      <c r="BS179" s="77"/>
      <c r="BT179" s="77"/>
      <c r="BU179" s="77"/>
      <c r="BV179" s="77"/>
      <c r="BW179" s="50"/>
      <c r="BX179" s="60"/>
      <c r="BY179" s="57"/>
      <c r="BZ179">
        <v>127</v>
      </c>
      <c r="CA179" t="s">
        <v>375</v>
      </c>
      <c r="CB179">
        <v>6117.7310108719903</v>
      </c>
      <c r="CC179" t="s">
        <v>981</v>
      </c>
    </row>
    <row r="180" spans="1:81">
      <c r="A180" s="57">
        <v>127</v>
      </c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77"/>
      <c r="BI180" s="77"/>
      <c r="BJ180" s="77"/>
      <c r="BK180" s="77"/>
      <c r="BL180" s="77"/>
      <c r="BM180" s="77"/>
      <c r="BN180" s="77"/>
      <c r="BO180" s="77"/>
      <c r="BP180" s="77"/>
      <c r="BQ180" s="77"/>
      <c r="BR180" s="77"/>
      <c r="BS180" s="77"/>
      <c r="BT180" s="77"/>
      <c r="BU180" s="77"/>
      <c r="BV180" s="77"/>
      <c r="BW180" s="50"/>
      <c r="BX180" s="60"/>
      <c r="BY180" s="57"/>
      <c r="BZ180">
        <v>128</v>
      </c>
      <c r="CA180" t="s">
        <v>376</v>
      </c>
      <c r="CB180">
        <v>6117.7310108719903</v>
      </c>
      <c r="CC180" t="s">
        <v>981</v>
      </c>
    </row>
    <row r="181" spans="1:81">
      <c r="A181" s="57">
        <v>128</v>
      </c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77"/>
      <c r="BI181" s="77"/>
      <c r="BJ181" s="77"/>
      <c r="BK181" s="77"/>
      <c r="BL181" s="77"/>
      <c r="BM181" s="77"/>
      <c r="BN181" s="77"/>
      <c r="BO181" s="77"/>
      <c r="BP181" s="77"/>
      <c r="BQ181" s="77"/>
      <c r="BR181" s="77"/>
      <c r="BS181" s="77"/>
      <c r="BT181" s="77"/>
      <c r="BU181" s="77"/>
      <c r="BV181" s="77"/>
      <c r="BW181" s="50"/>
      <c r="BX181" s="60"/>
      <c r="BY181" s="57"/>
      <c r="BZ181">
        <v>129</v>
      </c>
      <c r="CA181" t="s">
        <v>377</v>
      </c>
      <c r="CB181">
        <v>6117.7310108719903</v>
      </c>
      <c r="CC181" t="s">
        <v>981</v>
      </c>
    </row>
    <row r="182" spans="1:81">
      <c r="A182" s="57">
        <v>129</v>
      </c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77"/>
      <c r="BL182" s="77"/>
      <c r="BM182" s="77"/>
      <c r="BN182" s="77"/>
      <c r="BO182" s="77"/>
      <c r="BP182" s="77"/>
      <c r="BQ182" s="77"/>
      <c r="BR182" s="77"/>
      <c r="BS182" s="77"/>
      <c r="BT182" s="77"/>
      <c r="BU182" s="77"/>
      <c r="BV182" s="77"/>
      <c r="BW182" s="50"/>
      <c r="BX182" s="60"/>
      <c r="BY182" s="57"/>
      <c r="BZ182">
        <v>130</v>
      </c>
      <c r="CA182" t="s">
        <v>378</v>
      </c>
      <c r="CB182">
        <v>6117.7310108719903</v>
      </c>
      <c r="CC182" t="s">
        <v>981</v>
      </c>
    </row>
    <row r="183" spans="1:81">
      <c r="A183" s="57">
        <v>130</v>
      </c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77"/>
      <c r="BL183" s="77"/>
      <c r="BM183" s="77"/>
      <c r="BN183" s="77"/>
      <c r="BO183" s="77"/>
      <c r="BP183" s="77"/>
      <c r="BQ183" s="77"/>
      <c r="BR183" s="77"/>
      <c r="BS183" s="77"/>
      <c r="BT183" s="77"/>
      <c r="BU183" s="77"/>
      <c r="BV183" s="77"/>
      <c r="BW183" s="50"/>
      <c r="BX183" s="60"/>
      <c r="BY183" s="57"/>
      <c r="BZ183">
        <v>131</v>
      </c>
      <c r="CA183" t="s">
        <v>379</v>
      </c>
      <c r="CB183">
        <v>6117.7310108719903</v>
      </c>
      <c r="CC183" t="s">
        <v>981</v>
      </c>
    </row>
    <row r="184" spans="1:81">
      <c r="A184" s="57">
        <v>131</v>
      </c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77"/>
      <c r="BL184" s="77"/>
      <c r="BM184" s="77"/>
      <c r="BN184" s="77"/>
      <c r="BO184" s="77"/>
      <c r="BP184" s="77"/>
      <c r="BQ184" s="77"/>
      <c r="BR184" s="77"/>
      <c r="BS184" s="77"/>
      <c r="BT184" s="77"/>
      <c r="BU184" s="77"/>
      <c r="BV184" s="77"/>
      <c r="BW184" s="50"/>
      <c r="BX184" s="60"/>
      <c r="BY184" s="57"/>
      <c r="BZ184">
        <v>132</v>
      </c>
      <c r="CA184" t="s">
        <v>380</v>
      </c>
      <c r="CB184">
        <v>6117.7310108719903</v>
      </c>
      <c r="CC184" t="s">
        <v>981</v>
      </c>
    </row>
    <row r="185" spans="1:81">
      <c r="A185" s="57">
        <v>132</v>
      </c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77"/>
      <c r="BL185" s="77"/>
      <c r="BM185" s="77"/>
      <c r="BN185" s="77"/>
      <c r="BO185" s="77"/>
      <c r="BP185" s="77"/>
      <c r="BQ185" s="77"/>
      <c r="BR185" s="77"/>
      <c r="BS185" s="77"/>
      <c r="BT185" s="77"/>
      <c r="BU185" s="77"/>
      <c r="BV185" s="77"/>
      <c r="BW185" s="50"/>
      <c r="BX185" s="60"/>
      <c r="BY185" s="57"/>
      <c r="BZ185">
        <v>133</v>
      </c>
      <c r="CA185" t="s">
        <v>381</v>
      </c>
      <c r="CB185">
        <v>6354.5382202813335</v>
      </c>
      <c r="CC185" t="s">
        <v>981</v>
      </c>
    </row>
    <row r="186" spans="1:81">
      <c r="A186" s="57">
        <v>133</v>
      </c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77"/>
      <c r="BL186" s="77"/>
      <c r="BM186" s="77"/>
      <c r="BN186" s="77"/>
      <c r="BO186" s="77"/>
      <c r="BP186" s="77"/>
      <c r="BQ186" s="77"/>
      <c r="BR186" s="77"/>
      <c r="BS186" s="77"/>
      <c r="BT186" s="77"/>
      <c r="BU186" s="77"/>
      <c r="BV186" s="77"/>
      <c r="BW186" s="50"/>
      <c r="BX186" s="60"/>
      <c r="BY186" s="57"/>
      <c r="BZ186">
        <v>134</v>
      </c>
      <c r="CA186" t="s">
        <v>382</v>
      </c>
      <c r="CB186">
        <v>6354.5382202813335</v>
      </c>
      <c r="CC186" t="s">
        <v>981</v>
      </c>
    </row>
    <row r="187" spans="1:81">
      <c r="A187" s="57">
        <v>134</v>
      </c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77"/>
      <c r="BL187" s="77"/>
      <c r="BM187" s="77"/>
      <c r="BN187" s="77"/>
      <c r="BO187" s="77"/>
      <c r="BP187" s="77"/>
      <c r="BQ187" s="77"/>
      <c r="BR187" s="77"/>
      <c r="BS187" s="77"/>
      <c r="BT187" s="77"/>
      <c r="BU187" s="77"/>
      <c r="BV187" s="77"/>
      <c r="BW187" s="50"/>
      <c r="BX187" s="60"/>
      <c r="BY187" s="57"/>
      <c r="BZ187">
        <v>135</v>
      </c>
      <c r="CA187" t="s">
        <v>383</v>
      </c>
      <c r="CB187">
        <v>6354.5382202813335</v>
      </c>
      <c r="CC187" t="s">
        <v>981</v>
      </c>
    </row>
    <row r="188" spans="1:81">
      <c r="A188" s="57">
        <v>135</v>
      </c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W188" s="50"/>
      <c r="BX188" s="60"/>
      <c r="BY188" s="57"/>
      <c r="BZ188">
        <v>136</v>
      </c>
      <c r="CA188" t="s">
        <v>384</v>
      </c>
      <c r="CB188">
        <v>6354.5382202813335</v>
      </c>
      <c r="CC188" t="s">
        <v>981</v>
      </c>
    </row>
    <row r="189" spans="1:81">
      <c r="A189" s="57">
        <v>136</v>
      </c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77"/>
      <c r="BL189" s="77"/>
      <c r="BM189" s="77"/>
      <c r="BN189" s="77"/>
      <c r="BO189" s="77"/>
      <c r="BP189" s="77"/>
      <c r="BQ189" s="77"/>
      <c r="BR189" s="77"/>
      <c r="BS189" s="77"/>
      <c r="BT189" s="77"/>
      <c r="BU189" s="77"/>
      <c r="BV189" s="77"/>
      <c r="BW189" s="50"/>
      <c r="BX189" s="60"/>
      <c r="BY189" s="57"/>
      <c r="BZ189">
        <v>137</v>
      </c>
      <c r="CA189" t="s">
        <v>385</v>
      </c>
      <c r="CB189">
        <v>6354.5382202813335</v>
      </c>
      <c r="CC189" t="s">
        <v>981</v>
      </c>
    </row>
    <row r="190" spans="1:81">
      <c r="A190" s="57">
        <v>137</v>
      </c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77"/>
      <c r="BL190" s="77"/>
      <c r="BM190" s="77"/>
      <c r="BN190" s="77"/>
      <c r="BO190" s="77"/>
      <c r="BP190" s="77"/>
      <c r="BQ190" s="77"/>
      <c r="BR190" s="77"/>
      <c r="BS190" s="77"/>
      <c r="BT190" s="77"/>
      <c r="BU190" s="77"/>
      <c r="BV190" s="77"/>
      <c r="BW190" s="50"/>
      <c r="BX190" s="60"/>
      <c r="BY190" s="57"/>
      <c r="BZ190">
        <v>138</v>
      </c>
      <c r="CA190" t="s">
        <v>386</v>
      </c>
      <c r="CB190">
        <v>6354.5382202813335</v>
      </c>
      <c r="CC190" t="s">
        <v>981</v>
      </c>
    </row>
    <row r="191" spans="1:81">
      <c r="A191" s="57">
        <v>138</v>
      </c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77"/>
      <c r="BL191" s="77"/>
      <c r="BM191" s="77"/>
      <c r="BN191" s="77"/>
      <c r="BO191" s="77"/>
      <c r="BP191" s="77"/>
      <c r="BQ191" s="77"/>
      <c r="BR191" s="77"/>
      <c r="BS191" s="77"/>
      <c r="BT191" s="77"/>
      <c r="BU191" s="77"/>
      <c r="BV191" s="77"/>
      <c r="BW191" s="50"/>
      <c r="BX191" s="60"/>
      <c r="BY191" s="57"/>
      <c r="BZ191">
        <v>139</v>
      </c>
      <c r="CA191" t="s">
        <v>387</v>
      </c>
      <c r="CB191">
        <v>6165.6957785245449</v>
      </c>
      <c r="CC191" t="s">
        <v>981</v>
      </c>
    </row>
    <row r="192" spans="1:81">
      <c r="A192" s="57">
        <v>139</v>
      </c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77"/>
      <c r="BL192" s="77"/>
      <c r="BM192" s="77"/>
      <c r="BN192" s="77"/>
      <c r="BO192" s="77"/>
      <c r="BP192" s="77"/>
      <c r="BQ192" s="77"/>
      <c r="BR192" s="77"/>
      <c r="BS192" s="77"/>
      <c r="BT192" s="77"/>
      <c r="BU192" s="77"/>
      <c r="BV192" s="77"/>
      <c r="BW192" s="50"/>
      <c r="BX192" s="60"/>
      <c r="BY192" s="57"/>
      <c r="BZ192">
        <v>140</v>
      </c>
      <c r="CA192" t="s">
        <v>388</v>
      </c>
      <c r="CB192">
        <v>6165.6957785245449</v>
      </c>
      <c r="CC192" t="s">
        <v>981</v>
      </c>
    </row>
    <row r="193" spans="1:81">
      <c r="A193" s="57">
        <v>140</v>
      </c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/>
      <c r="BV193" s="77"/>
      <c r="BW193" s="50"/>
      <c r="BX193" s="60"/>
      <c r="BY193" s="57"/>
      <c r="BZ193">
        <v>141</v>
      </c>
      <c r="CA193" t="s">
        <v>389</v>
      </c>
      <c r="CB193">
        <v>6165.6957785245449</v>
      </c>
      <c r="CC193" t="s">
        <v>981</v>
      </c>
    </row>
    <row r="194" spans="1:81">
      <c r="BK194" s="77"/>
      <c r="BL194" s="77"/>
      <c r="BM194" s="77"/>
      <c r="BN194" s="77"/>
      <c r="BO194" s="77"/>
      <c r="BP194" s="77"/>
      <c r="BQ194" s="77"/>
      <c r="BR194" s="77"/>
      <c r="BS194" s="77"/>
      <c r="BT194" s="77"/>
      <c r="BU194" s="77"/>
      <c r="BV194" s="77"/>
      <c r="BZ194">
        <v>142</v>
      </c>
      <c r="CA194" t="s">
        <v>390</v>
      </c>
      <c r="CB194">
        <v>6165.6957785245449</v>
      </c>
      <c r="CC194" t="s">
        <v>981</v>
      </c>
    </row>
    <row r="195" spans="1:81">
      <c r="BZ195">
        <v>143</v>
      </c>
      <c r="CA195" t="s">
        <v>391</v>
      </c>
      <c r="CB195">
        <v>6165.6957785245449</v>
      </c>
      <c r="CC195" t="s">
        <v>981</v>
      </c>
    </row>
    <row r="196" spans="1:81">
      <c r="BZ196">
        <v>144</v>
      </c>
      <c r="CA196" t="s">
        <v>392</v>
      </c>
      <c r="CB196">
        <v>6165.6957785245449</v>
      </c>
      <c r="CC196" t="s">
        <v>981</v>
      </c>
    </row>
    <row r="197" spans="1:81">
      <c r="BZ197">
        <v>145</v>
      </c>
      <c r="CA197" t="s">
        <v>393</v>
      </c>
      <c r="CB197">
        <v>6097.1915537656314</v>
      </c>
      <c r="CC197" t="s">
        <v>982</v>
      </c>
    </row>
    <row r="198" spans="1:81">
      <c r="BZ198">
        <v>146</v>
      </c>
      <c r="CA198" t="s">
        <v>394</v>
      </c>
      <c r="CB198">
        <v>6097.1915537656314</v>
      </c>
      <c r="CC198" t="s">
        <v>982</v>
      </c>
    </row>
    <row r="199" spans="1:81">
      <c r="BZ199">
        <v>147</v>
      </c>
      <c r="CA199" t="s">
        <v>395</v>
      </c>
      <c r="CB199">
        <v>6333.9987631749746</v>
      </c>
      <c r="CC199" t="s">
        <v>982</v>
      </c>
    </row>
    <row r="200" spans="1:81">
      <c r="BZ200">
        <v>148</v>
      </c>
      <c r="CA200" t="s">
        <v>396</v>
      </c>
      <c r="CB200">
        <v>6333.9987631749746</v>
      </c>
      <c r="CC200" t="s">
        <v>982</v>
      </c>
    </row>
    <row r="201" spans="1:81">
      <c r="BZ201">
        <v>149</v>
      </c>
      <c r="CA201" t="s">
        <v>397</v>
      </c>
      <c r="CB201">
        <v>6145.1563214181861</v>
      </c>
      <c r="CC201" t="s">
        <v>982</v>
      </c>
    </row>
    <row r="202" spans="1:81">
      <c r="BZ202">
        <v>150</v>
      </c>
      <c r="CA202" t="s">
        <v>398</v>
      </c>
      <c r="CB202">
        <v>6145.1563214181861</v>
      </c>
      <c r="CC202" t="s">
        <v>982</v>
      </c>
    </row>
    <row r="203" spans="1:81">
      <c r="BZ203">
        <v>151</v>
      </c>
      <c r="CA203" t="s">
        <v>399</v>
      </c>
      <c r="CB203">
        <v>5904.8275845316066</v>
      </c>
      <c r="CC203" t="s">
        <v>983</v>
      </c>
    </row>
    <row r="204" spans="1:81">
      <c r="BZ204">
        <v>152</v>
      </c>
      <c r="CA204" t="s">
        <v>400</v>
      </c>
      <c r="CB204">
        <v>5715.9851427748181</v>
      </c>
      <c r="CC204" t="s">
        <v>983</v>
      </c>
    </row>
    <row r="205" spans="1:81">
      <c r="BZ205">
        <v>153</v>
      </c>
      <c r="CA205" t="s">
        <v>401</v>
      </c>
      <c r="CB205">
        <v>6643.6241403862168</v>
      </c>
      <c r="CC205" t="s">
        <v>984</v>
      </c>
    </row>
    <row r="206" spans="1:81">
      <c r="BZ206">
        <v>154</v>
      </c>
      <c r="CA206" t="s">
        <v>402</v>
      </c>
      <c r="CB206">
        <v>5816.7799753011059</v>
      </c>
      <c r="CC206" t="s">
        <v>985</v>
      </c>
    </row>
    <row r="207" spans="1:81">
      <c r="BZ207">
        <v>155</v>
      </c>
      <c r="CA207" t="s">
        <v>403</v>
      </c>
      <c r="CB207">
        <v>6561.0643148189638</v>
      </c>
      <c r="CC207" t="s">
        <v>986</v>
      </c>
    </row>
    <row r="208" spans="1:81">
      <c r="BZ208">
        <v>156</v>
      </c>
      <c r="CA208" t="s">
        <v>404</v>
      </c>
      <c r="CB208">
        <v>6079.318490901228</v>
      </c>
      <c r="CC208" t="s">
        <v>984</v>
      </c>
    </row>
    <row r="209" spans="78:81">
      <c r="BZ209">
        <v>157</v>
      </c>
      <c r="CA209" t="s">
        <v>405</v>
      </c>
      <c r="CB209">
        <v>5736.3274988453268</v>
      </c>
      <c r="CC209" t="s">
        <v>984</v>
      </c>
    </row>
    <row r="210" spans="78:81">
      <c r="BZ210">
        <v>158</v>
      </c>
      <c r="CA210" t="s">
        <v>406</v>
      </c>
      <c r="CB210">
        <v>5779.6337463741511</v>
      </c>
      <c r="CC210" t="s">
        <v>985</v>
      </c>
    </row>
    <row r="211" spans="78:81">
      <c r="BZ211">
        <v>159</v>
      </c>
      <c r="CA211" t="s">
        <v>407</v>
      </c>
      <c r="CB211">
        <v>6621.5134892816195</v>
      </c>
      <c r="CC211" t="s">
        <v>488</v>
      </c>
    </row>
    <row r="212" spans="78:81">
      <c r="BZ212">
        <v>160</v>
      </c>
      <c r="CA212" t="s">
        <v>408</v>
      </c>
      <c r="CB212">
        <v>6660.4280132426629</v>
      </c>
      <c r="CC212" t="s">
        <v>983</v>
      </c>
    </row>
    <row r="213" spans="78:81">
      <c r="BZ213">
        <v>161</v>
      </c>
      <c r="CA213" t="s">
        <v>409</v>
      </c>
      <c r="CB213">
        <v>5879.6575104188396</v>
      </c>
      <c r="CC213" t="s">
        <v>984</v>
      </c>
    </row>
    <row r="214" spans="78:81">
      <c r="BZ214">
        <v>162</v>
      </c>
      <c r="CA214" t="s">
        <v>410</v>
      </c>
      <c r="CB214">
        <v>5595.8628522700528</v>
      </c>
      <c r="CC214" t="s">
        <v>985</v>
      </c>
    </row>
    <row r="215" spans="78:81">
      <c r="BZ215">
        <v>163</v>
      </c>
      <c r="CA215" t="s">
        <v>411</v>
      </c>
      <c r="CB215">
        <v>6545.6403503189267</v>
      </c>
      <c r="CC215" t="s">
        <v>986</v>
      </c>
    </row>
    <row r="216" spans="78:81">
      <c r="BZ216">
        <v>164</v>
      </c>
      <c r="CA216" t="s">
        <v>412</v>
      </c>
      <c r="CB216">
        <v>5895.5475967971297</v>
      </c>
      <c r="CC216" t="s">
        <v>984</v>
      </c>
    </row>
    <row r="217" spans="78:81">
      <c r="BZ217">
        <v>165</v>
      </c>
      <c r="CA217" t="s">
        <v>413</v>
      </c>
      <c r="CB217">
        <v>5625.4851960750384</v>
      </c>
      <c r="CC217" t="s">
        <v>985</v>
      </c>
    </row>
    <row r="218" spans="78:81">
      <c r="BZ218">
        <v>166</v>
      </c>
      <c r="CA218" t="s">
        <v>414</v>
      </c>
      <c r="CB218">
        <v>6603.1832578556314</v>
      </c>
      <c r="CC218" t="s">
        <v>984</v>
      </c>
    </row>
    <row r="219" spans="78:81">
      <c r="BZ219">
        <v>167</v>
      </c>
      <c r="CA219" t="s">
        <v>415</v>
      </c>
      <c r="CB219">
        <v>6096.1223637576741</v>
      </c>
      <c r="CC219" t="s">
        <v>983</v>
      </c>
    </row>
    <row r="220" spans="78:81">
      <c r="BZ220">
        <v>168</v>
      </c>
      <c r="CA220" t="s">
        <v>416</v>
      </c>
      <c r="CB220">
        <v>5859.3151543483309</v>
      </c>
      <c r="CC220" t="s">
        <v>983</v>
      </c>
    </row>
    <row r="221" spans="78:81">
      <c r="BZ221">
        <v>169</v>
      </c>
      <c r="CA221" t="s">
        <v>417</v>
      </c>
      <c r="CB221">
        <v>6315.2621790503044</v>
      </c>
      <c r="CC221" t="s">
        <v>983</v>
      </c>
    </row>
    <row r="222" spans="78:81">
      <c r="BZ222">
        <v>170</v>
      </c>
      <c r="CA222" t="s">
        <v>418</v>
      </c>
      <c r="CB222">
        <v>6126.4197372935159</v>
      </c>
      <c r="CC222" t="s">
        <v>983</v>
      </c>
    </row>
    <row r="223" spans="78:81">
      <c r="BZ223">
        <v>171</v>
      </c>
      <c r="CA223" t="s">
        <v>419</v>
      </c>
      <c r="CB223">
        <v>6660.4280132426629</v>
      </c>
      <c r="CC223" t="s">
        <v>984</v>
      </c>
    </row>
    <row r="224" spans="78:81">
      <c r="BZ224">
        <v>172</v>
      </c>
      <c r="CA224" t="s">
        <v>420</v>
      </c>
      <c r="CB224">
        <v>5816.7799753011059</v>
      </c>
      <c r="CC224" t="s">
        <v>985</v>
      </c>
    </row>
    <row r="225" spans="78:81">
      <c r="BZ225">
        <v>173</v>
      </c>
      <c r="CA225" t="s">
        <v>421</v>
      </c>
      <c r="CB225">
        <v>6561.0643148189638</v>
      </c>
      <c r="CC225" t="s">
        <v>986</v>
      </c>
    </row>
    <row r="226" spans="78:81">
      <c r="BZ226">
        <v>174</v>
      </c>
      <c r="CA226" t="s">
        <v>422</v>
      </c>
      <c r="CB226">
        <v>6096.1223637576741</v>
      </c>
      <c r="CC226" t="s">
        <v>984</v>
      </c>
    </row>
    <row r="227" spans="78:81">
      <c r="BZ227">
        <v>175</v>
      </c>
      <c r="CA227" t="s">
        <v>423</v>
      </c>
      <c r="CB227">
        <v>5777.0777758503336</v>
      </c>
      <c r="CC227" t="s">
        <v>982</v>
      </c>
    </row>
    <row r="228" spans="78:81">
      <c r="BZ228">
        <v>176</v>
      </c>
      <c r="CA228" t="s">
        <v>424</v>
      </c>
      <c r="CB228">
        <v>5777.0777758503336</v>
      </c>
      <c r="CC228" t="s">
        <v>982</v>
      </c>
    </row>
    <row r="229" spans="78:81">
      <c r="BZ229">
        <v>177</v>
      </c>
      <c r="CA229" t="s">
        <v>425</v>
      </c>
      <c r="CB229">
        <v>5906.7602957998306</v>
      </c>
      <c r="CC229" t="s">
        <v>982</v>
      </c>
    </row>
    <row r="230" spans="78:81">
      <c r="BZ230">
        <v>178</v>
      </c>
      <c r="CA230" t="s">
        <v>426</v>
      </c>
      <c r="CB230">
        <v>5906.7602957998306</v>
      </c>
      <c r="CC230" t="s">
        <v>982</v>
      </c>
    </row>
    <row r="231" spans="78:81">
      <c r="BZ231">
        <v>179</v>
      </c>
      <c r="CA231" t="s">
        <v>427</v>
      </c>
      <c r="CB231">
        <v>5717.9178540430421</v>
      </c>
      <c r="CC231" t="s">
        <v>982</v>
      </c>
    </row>
    <row r="232" spans="78:81">
      <c r="BZ232">
        <v>180</v>
      </c>
      <c r="CA232" t="s">
        <v>428</v>
      </c>
      <c r="CB232">
        <v>5717.9178540430421</v>
      </c>
      <c r="CC232" t="s">
        <v>982</v>
      </c>
    </row>
    <row r="233" spans="78:81">
      <c r="BZ233">
        <v>181</v>
      </c>
      <c r="CA233" t="s">
        <v>429</v>
      </c>
      <c r="CB233">
        <v>6702.7840621935084</v>
      </c>
      <c r="CC233" t="s">
        <v>983</v>
      </c>
    </row>
    <row r="234" spans="78:81">
      <c r="BZ234">
        <v>182</v>
      </c>
      <c r="CA234" t="s">
        <v>430</v>
      </c>
      <c r="CB234">
        <v>6643.6241403862168</v>
      </c>
      <c r="CC234" t="s">
        <v>983</v>
      </c>
    </row>
    <row r="235" spans="78:81">
      <c r="BZ235">
        <v>183</v>
      </c>
      <c r="CA235" t="s">
        <v>431</v>
      </c>
      <c r="CB235">
        <v>6163.5659662204707</v>
      </c>
      <c r="CC235" t="s">
        <v>984</v>
      </c>
    </row>
    <row r="236" spans="78:81">
      <c r="BZ236">
        <v>184</v>
      </c>
      <c r="CA236" t="s">
        <v>432</v>
      </c>
      <c r="CB236">
        <v>5796.4376192305972</v>
      </c>
      <c r="CC236" t="s">
        <v>985</v>
      </c>
    </row>
    <row r="237" spans="78:81">
      <c r="BZ237">
        <v>185</v>
      </c>
      <c r="CA237" t="s">
        <v>433</v>
      </c>
      <c r="CB237">
        <v>6023.1013196451968</v>
      </c>
      <c r="CC237" t="s">
        <v>985</v>
      </c>
    </row>
    <row r="238" spans="78:81">
      <c r="BZ238">
        <v>186</v>
      </c>
      <c r="CA238" t="s">
        <v>434</v>
      </c>
      <c r="CB238">
        <v>5986.7821998786858</v>
      </c>
      <c r="CC238" t="s">
        <v>984</v>
      </c>
    </row>
    <row r="239" spans="78:81">
      <c r="BZ239">
        <v>187</v>
      </c>
      <c r="CA239" t="s">
        <v>435</v>
      </c>
      <c r="CB239">
        <v>6079.318490901228</v>
      </c>
      <c r="CC239" t="s">
        <v>983</v>
      </c>
    </row>
    <row r="240" spans="78:81">
      <c r="BZ240">
        <v>188</v>
      </c>
      <c r="CA240" t="s">
        <v>436</v>
      </c>
      <c r="CB240">
        <v>5949.635970951731</v>
      </c>
      <c r="CC240" t="s">
        <v>983</v>
      </c>
    </row>
    <row r="241" spans="78:81">
      <c r="BZ241">
        <v>189</v>
      </c>
      <c r="CA241" t="s">
        <v>437</v>
      </c>
      <c r="CB241">
        <v>6710.3079473154776</v>
      </c>
      <c r="CC241" t="s">
        <v>984</v>
      </c>
    </row>
    <row r="242" spans="78:81">
      <c r="BZ242">
        <v>190</v>
      </c>
      <c r="CA242" t="s">
        <v>438</v>
      </c>
      <c r="CB242">
        <v>6053.7298263502107</v>
      </c>
      <c r="CC242" t="s">
        <v>986</v>
      </c>
    </row>
    <row r="243" spans="78:81">
      <c r="BZ243">
        <v>191</v>
      </c>
      <c r="CA243" t="s">
        <v>439</v>
      </c>
      <c r="CB243">
        <v>6580.0882896746416</v>
      </c>
      <c r="CC243" t="s">
        <v>986</v>
      </c>
    </row>
    <row r="244" spans="78:81">
      <c r="BZ244">
        <v>192</v>
      </c>
      <c r="CA244" t="s">
        <v>440</v>
      </c>
      <c r="CB244">
        <v>6322.7860641722737</v>
      </c>
      <c r="CC244" t="s">
        <v>984</v>
      </c>
    </row>
    <row r="245" spans="78:81">
      <c r="BZ245">
        <v>193</v>
      </c>
      <c r="CA245" t="s">
        <v>441</v>
      </c>
      <c r="CB245">
        <v>5715.9851427748181</v>
      </c>
      <c r="CC245" t="s">
        <v>984</v>
      </c>
    </row>
    <row r="246" spans="78:81">
      <c r="BZ246">
        <v>194</v>
      </c>
      <c r="CA246" t="s">
        <v>442</v>
      </c>
      <c r="CB246">
        <v>5779.6337463741511</v>
      </c>
      <c r="CC246" t="s">
        <v>985</v>
      </c>
    </row>
    <row r="247" spans="78:81">
      <c r="BZ247">
        <v>195</v>
      </c>
      <c r="CA247" t="s">
        <v>443</v>
      </c>
      <c r="CB247">
        <v>6115.6011985679161</v>
      </c>
      <c r="CC247" t="s">
        <v>983</v>
      </c>
    </row>
    <row r="248" spans="78:81">
      <c r="BZ248">
        <v>196</v>
      </c>
      <c r="CA248" t="s">
        <v>444</v>
      </c>
      <c r="CB248">
        <v>6163.5659662204707</v>
      </c>
      <c r="CC248" t="s">
        <v>983</v>
      </c>
    </row>
    <row r="249" spans="78:81">
      <c r="BZ249">
        <v>197</v>
      </c>
      <c r="CA249" t="s">
        <v>445</v>
      </c>
      <c r="CB249">
        <v>5859.3151543483309</v>
      </c>
      <c r="CC249" t="s">
        <v>984</v>
      </c>
    </row>
    <row r="250" spans="78:81">
      <c r="BZ250">
        <v>198</v>
      </c>
      <c r="CA250" t="s">
        <v>446</v>
      </c>
      <c r="CB250">
        <v>5595.8628522700528</v>
      </c>
      <c r="CC250" t="s">
        <v>985</v>
      </c>
    </row>
    <row r="251" spans="78:81">
      <c r="BZ251">
        <v>199</v>
      </c>
      <c r="CA251" t="s">
        <v>447</v>
      </c>
      <c r="CB251">
        <v>6126.4197372935159</v>
      </c>
      <c r="CC251" t="s">
        <v>984</v>
      </c>
    </row>
    <row r="252" spans="78:81">
      <c r="BZ252">
        <v>200</v>
      </c>
      <c r="CA252" t="s">
        <v>448</v>
      </c>
      <c r="CB252">
        <v>5796.4376192305972</v>
      </c>
      <c r="CC252" t="s">
        <v>985</v>
      </c>
    </row>
    <row r="253" spans="78:81">
      <c r="BZ253">
        <v>201</v>
      </c>
      <c r="CA253" t="s">
        <v>449</v>
      </c>
      <c r="CB253">
        <v>5795.4874206526183</v>
      </c>
      <c r="CC253" t="s">
        <v>983</v>
      </c>
    </row>
    <row r="254" spans="78:81">
      <c r="BZ254">
        <v>202</v>
      </c>
      <c r="CA254" t="s">
        <v>450</v>
      </c>
      <c r="CB254">
        <v>5736.3274988453268</v>
      </c>
      <c r="CC254" t="s">
        <v>983</v>
      </c>
    </row>
    <row r="255" spans="78:81">
      <c r="BZ255">
        <v>203</v>
      </c>
      <c r="CA255" t="s">
        <v>451</v>
      </c>
      <c r="CB255">
        <v>5949.635970951731</v>
      </c>
      <c r="CC255" t="s">
        <v>984</v>
      </c>
    </row>
    <row r="256" spans="78:81">
      <c r="BZ256">
        <v>204</v>
      </c>
      <c r="CA256" t="s">
        <v>452</v>
      </c>
      <c r="CB256">
        <v>6023.1013196451968</v>
      </c>
      <c r="CC256" t="s">
        <v>985</v>
      </c>
    </row>
    <row r="257" spans="78:81">
      <c r="BZ257">
        <v>205</v>
      </c>
      <c r="CA257" t="s">
        <v>453</v>
      </c>
      <c r="CB257">
        <v>6625.4755473814785</v>
      </c>
      <c r="CC257" t="s">
        <v>639</v>
      </c>
    </row>
    <row r="258" spans="78:81">
      <c r="BZ258">
        <v>206</v>
      </c>
      <c r="CA258" t="s">
        <v>454</v>
      </c>
      <c r="CB258">
        <v>6625.4755473814785</v>
      </c>
      <c r="CC258" t="s">
        <v>639</v>
      </c>
    </row>
    <row r="259" spans="78:81">
      <c r="BZ259">
        <v>207</v>
      </c>
      <c r="CA259" t="s">
        <v>455</v>
      </c>
      <c r="CB259">
        <v>6721.5206463181785</v>
      </c>
      <c r="CC259" t="s">
        <v>982</v>
      </c>
    </row>
    <row r="260" spans="78:81">
      <c r="BZ260">
        <v>208</v>
      </c>
      <c r="CA260" t="s">
        <v>456</v>
      </c>
      <c r="CB260">
        <v>6721.5206463181785</v>
      </c>
      <c r="CC260" t="s">
        <v>982</v>
      </c>
    </row>
    <row r="261" spans="78:81">
      <c r="BZ261">
        <v>209</v>
      </c>
      <c r="CA261" t="s">
        <v>457</v>
      </c>
      <c r="CB261">
        <v>6662.3607245108869</v>
      </c>
      <c r="CC261" t="s">
        <v>982</v>
      </c>
    </row>
    <row r="262" spans="78:81">
      <c r="BZ262">
        <v>210</v>
      </c>
      <c r="CA262" t="s">
        <v>458</v>
      </c>
      <c r="CB262">
        <v>6662.3607245108869</v>
      </c>
      <c r="CC262" t="s">
        <v>982</v>
      </c>
    </row>
    <row r="263" spans="78:81">
      <c r="BZ263">
        <v>211</v>
      </c>
      <c r="CA263" t="s">
        <v>459</v>
      </c>
      <c r="CB263">
        <v>5765.8650768476327</v>
      </c>
      <c r="CC263" t="s">
        <v>984</v>
      </c>
    </row>
    <row r="264" spans="78:81">
      <c r="BZ264">
        <v>212</v>
      </c>
      <c r="CA264" t="s">
        <v>460</v>
      </c>
      <c r="CB264">
        <v>6015.5774345232276</v>
      </c>
      <c r="CC264" t="s">
        <v>985</v>
      </c>
    </row>
    <row r="265" spans="78:81">
      <c r="BZ265">
        <v>213</v>
      </c>
      <c r="CA265" t="s">
        <v>461</v>
      </c>
      <c r="CB265">
        <v>5879.6575104188396</v>
      </c>
      <c r="CC265" t="s">
        <v>983</v>
      </c>
    </row>
    <row r="266" spans="78:81">
      <c r="BZ266">
        <v>214</v>
      </c>
      <c r="CA266" t="s">
        <v>462</v>
      </c>
      <c r="CB266">
        <v>5986.7821998786858</v>
      </c>
      <c r="CC266" t="s">
        <v>983</v>
      </c>
    </row>
    <row r="267" spans="78:81">
      <c r="BZ267">
        <v>215</v>
      </c>
      <c r="CA267" t="s">
        <v>463</v>
      </c>
      <c r="CB267">
        <v>6085.9788547629305</v>
      </c>
      <c r="CC267" t="s">
        <v>984</v>
      </c>
    </row>
    <row r="268" spans="78:81">
      <c r="BZ268">
        <v>216</v>
      </c>
      <c r="CA268" t="s">
        <v>464</v>
      </c>
      <c r="CB268">
        <v>5605.1428400045297</v>
      </c>
      <c r="CC268" t="s">
        <v>985</v>
      </c>
    </row>
    <row r="269" spans="78:81">
      <c r="BZ269">
        <v>217</v>
      </c>
      <c r="CA269" t="s">
        <v>465</v>
      </c>
      <c r="CB269">
        <v>6545.6403503189267</v>
      </c>
      <c r="CC269" t="s">
        <v>986</v>
      </c>
    </row>
    <row r="270" spans="78:81">
      <c r="BZ270">
        <v>218</v>
      </c>
      <c r="CA270" t="s">
        <v>466</v>
      </c>
      <c r="CB270">
        <v>5904.8275845316066</v>
      </c>
      <c r="CC270" t="s">
        <v>984</v>
      </c>
    </row>
    <row r="271" spans="78:81">
      <c r="BZ271">
        <v>219</v>
      </c>
      <c r="CA271" t="s">
        <v>467</v>
      </c>
      <c r="CB271">
        <v>5625.4851960750384</v>
      </c>
      <c r="CC271" t="s">
        <v>985</v>
      </c>
    </row>
    <row r="272" spans="78:81">
      <c r="BZ272">
        <v>220</v>
      </c>
      <c r="CA272" t="s">
        <v>468</v>
      </c>
      <c r="CB272">
        <v>6621.5134892816195</v>
      </c>
      <c r="CC272" t="s">
        <v>703</v>
      </c>
    </row>
    <row r="273" spans="78:81">
      <c r="BZ273">
        <v>221</v>
      </c>
      <c r="CA273" t="s">
        <v>469</v>
      </c>
      <c r="CB273">
        <v>6322.7860641722737</v>
      </c>
      <c r="CC273" t="s">
        <v>983</v>
      </c>
    </row>
    <row r="274" spans="78:81">
      <c r="BZ274">
        <v>222</v>
      </c>
      <c r="CA274" t="s">
        <v>470</v>
      </c>
      <c r="CB274">
        <v>6085.9788547629305</v>
      </c>
      <c r="CC274" t="s">
        <v>983</v>
      </c>
    </row>
    <row r="275" spans="78:81">
      <c r="BZ275">
        <v>223</v>
      </c>
      <c r="CA275" t="s">
        <v>471</v>
      </c>
      <c r="CB275">
        <v>6580.0882896746416</v>
      </c>
      <c r="CC275" t="s">
        <v>986</v>
      </c>
    </row>
    <row r="276" spans="78:81">
      <c r="BZ276">
        <v>224</v>
      </c>
      <c r="CA276" t="s">
        <v>472</v>
      </c>
      <c r="CB276">
        <v>6315.2621790503044</v>
      </c>
      <c r="CC276" t="s">
        <v>984</v>
      </c>
    </row>
    <row r="277" spans="78:81">
      <c r="BZ277">
        <v>225</v>
      </c>
      <c r="CA277" t="s">
        <v>473</v>
      </c>
      <c r="CB277">
        <v>6053.7298263502107</v>
      </c>
      <c r="CC277" t="s">
        <v>986</v>
      </c>
    </row>
    <row r="278" spans="78:81">
      <c r="BZ278">
        <v>226</v>
      </c>
      <c r="CA278" t="s">
        <v>474</v>
      </c>
      <c r="CB278">
        <v>6702.7840621935084</v>
      </c>
      <c r="CC278" t="s">
        <v>984</v>
      </c>
    </row>
    <row r="279" spans="78:81">
      <c r="BZ279">
        <v>227</v>
      </c>
      <c r="CA279" t="s">
        <v>475</v>
      </c>
      <c r="CB279">
        <v>5895.5475967971297</v>
      </c>
      <c r="CC279" t="s">
        <v>983</v>
      </c>
    </row>
    <row r="280" spans="78:81">
      <c r="BZ280">
        <v>228</v>
      </c>
      <c r="CA280" t="s">
        <v>476</v>
      </c>
      <c r="CB280">
        <v>5765.8650768476327</v>
      </c>
      <c r="CC280" t="s">
        <v>983</v>
      </c>
    </row>
    <row r="281" spans="78:81">
      <c r="BZ281">
        <v>229</v>
      </c>
      <c r="CA281" t="s">
        <v>477</v>
      </c>
      <c r="CB281">
        <v>6015.5774345232276</v>
      </c>
      <c r="CC281" t="s">
        <v>985</v>
      </c>
    </row>
    <row r="282" spans="78:81">
      <c r="BZ282">
        <v>230</v>
      </c>
      <c r="CA282" t="s">
        <v>478</v>
      </c>
      <c r="CB282">
        <v>5795.4874206526183</v>
      </c>
      <c r="CC282" t="s">
        <v>984</v>
      </c>
    </row>
    <row r="283" spans="78:81">
      <c r="BZ283">
        <v>231</v>
      </c>
      <c r="CA283" t="s">
        <v>479</v>
      </c>
      <c r="CB283">
        <v>5605.1428400045297</v>
      </c>
      <c r="CC283" t="s">
        <v>985</v>
      </c>
    </row>
    <row r="284" spans="78:81">
      <c r="BZ284">
        <v>232</v>
      </c>
      <c r="CA284" t="s">
        <v>480</v>
      </c>
      <c r="CB284">
        <v>6115.6011985679161</v>
      </c>
      <c r="CC284" t="s">
        <v>984</v>
      </c>
    </row>
    <row r="285" spans="78:81">
      <c r="BZ285">
        <v>233</v>
      </c>
      <c r="CA285" t="s">
        <v>481</v>
      </c>
      <c r="CB285">
        <v>6710.3079473154776</v>
      </c>
      <c r="CC285" t="s">
        <v>983</v>
      </c>
    </row>
    <row r="286" spans="78:81">
      <c r="BZ286">
        <v>234</v>
      </c>
      <c r="CA286" t="s">
        <v>482</v>
      </c>
      <c r="CB286">
        <v>6603.1832578556314</v>
      </c>
      <c r="CC286" t="s">
        <v>983</v>
      </c>
    </row>
    <row r="287" spans="78:81">
      <c r="BZ287">
        <v>235</v>
      </c>
      <c r="CA287" t="s">
        <v>483</v>
      </c>
      <c r="CB287">
        <v>5861.2478656165549</v>
      </c>
      <c r="CC287" t="s">
        <v>982</v>
      </c>
    </row>
    <row r="288" spans="78:81">
      <c r="BZ288">
        <v>236</v>
      </c>
      <c r="CA288" t="s">
        <v>484</v>
      </c>
      <c r="CB288">
        <v>5861.2478656165549</v>
      </c>
      <c r="CC288" t="s">
        <v>982</v>
      </c>
    </row>
    <row r="289" spans="78:81">
      <c r="BZ289">
        <v>237</v>
      </c>
      <c r="CA289" t="s">
        <v>485</v>
      </c>
      <c r="CB289">
        <v>6098.0550750258981</v>
      </c>
      <c r="CC289" t="s">
        <v>982</v>
      </c>
    </row>
    <row r="290" spans="78:81">
      <c r="BZ290">
        <v>238</v>
      </c>
      <c r="CA290" t="s">
        <v>486</v>
      </c>
      <c r="CB290">
        <v>6098.0550750258981</v>
      </c>
      <c r="CC290" t="s">
        <v>982</v>
      </c>
    </row>
    <row r="291" spans="78:81">
      <c r="BZ291">
        <v>239</v>
      </c>
      <c r="CA291" t="s">
        <v>487</v>
      </c>
      <c r="CB291">
        <v>5968.3725550764011</v>
      </c>
      <c r="CC291" t="s">
        <v>982</v>
      </c>
    </row>
    <row r="292" spans="78:81">
      <c r="BZ292">
        <v>240</v>
      </c>
      <c r="CA292" t="s">
        <v>489</v>
      </c>
      <c r="CB292">
        <v>5968.3725550764011</v>
      </c>
      <c r="CC292" t="s">
        <v>982</v>
      </c>
    </row>
    <row r="293" spans="78:81">
      <c r="BZ293">
        <v>241</v>
      </c>
      <c r="CA293" t="s">
        <v>490</v>
      </c>
      <c r="CB293">
        <v>6144.3980264920028</v>
      </c>
      <c r="CC293" t="s">
        <v>982</v>
      </c>
    </row>
    <row r="294" spans="78:81">
      <c r="BZ294">
        <v>242</v>
      </c>
      <c r="CA294" t="s">
        <v>491</v>
      </c>
      <c r="CB294">
        <v>6144.3980264920028</v>
      </c>
      <c r="CC294" t="s">
        <v>982</v>
      </c>
    </row>
    <row r="295" spans="78:81">
      <c r="BZ295">
        <v>243</v>
      </c>
      <c r="CA295" t="s">
        <v>492</v>
      </c>
      <c r="CB295">
        <v>6381.205235901346</v>
      </c>
      <c r="CC295" t="s">
        <v>982</v>
      </c>
    </row>
    <row r="296" spans="78:81">
      <c r="BZ296">
        <v>244</v>
      </c>
      <c r="CA296" t="s">
        <v>493</v>
      </c>
      <c r="CB296">
        <v>6381.205235901346</v>
      </c>
      <c r="CC296" t="s">
        <v>982</v>
      </c>
    </row>
    <row r="297" spans="78:81">
      <c r="BZ297">
        <v>245</v>
      </c>
      <c r="CA297" t="s">
        <v>494</v>
      </c>
      <c r="CB297">
        <v>6192.3627941445575</v>
      </c>
      <c r="CC297" t="s">
        <v>982</v>
      </c>
    </row>
    <row r="298" spans="78:81">
      <c r="BZ298">
        <v>246</v>
      </c>
      <c r="CA298" t="s">
        <v>495</v>
      </c>
      <c r="CB298">
        <v>6192.3627941445575</v>
      </c>
      <c r="CC298" t="s">
        <v>982</v>
      </c>
    </row>
    <row r="299" spans="78:81">
      <c r="BZ299">
        <v>247</v>
      </c>
      <c r="CA299" t="s">
        <v>496</v>
      </c>
      <c r="CB299">
        <v>5906.7602957998306</v>
      </c>
      <c r="CC299" t="s">
        <v>983</v>
      </c>
    </row>
    <row r="300" spans="78:81">
      <c r="BZ300">
        <v>248</v>
      </c>
      <c r="CA300" t="s">
        <v>497</v>
      </c>
      <c r="CB300">
        <v>5717.9178540430421</v>
      </c>
      <c r="CC300" t="s">
        <v>983</v>
      </c>
    </row>
    <row r="301" spans="78:81">
      <c r="BZ301">
        <v>249</v>
      </c>
      <c r="CA301" t="s">
        <v>498</v>
      </c>
      <c r="CB301">
        <v>6643.6241403862168</v>
      </c>
      <c r="CC301" t="s">
        <v>984</v>
      </c>
    </row>
    <row r="302" spans="78:81">
      <c r="BZ302">
        <v>250</v>
      </c>
      <c r="CA302" t="s">
        <v>499</v>
      </c>
      <c r="CB302">
        <v>5816.7799753011059</v>
      </c>
      <c r="CC302" t="s">
        <v>985</v>
      </c>
    </row>
    <row r="303" spans="78:81">
      <c r="BZ303">
        <v>251</v>
      </c>
      <c r="CA303" t="s">
        <v>500</v>
      </c>
      <c r="CB303">
        <v>6561.0643148189638</v>
      </c>
      <c r="CC303" t="s">
        <v>986</v>
      </c>
    </row>
    <row r="304" spans="78:81">
      <c r="BZ304">
        <v>252</v>
      </c>
      <c r="CA304" t="s">
        <v>501</v>
      </c>
      <c r="CB304">
        <v>6079.318490901228</v>
      </c>
      <c r="CC304" t="s">
        <v>984</v>
      </c>
    </row>
    <row r="305" spans="78:81">
      <c r="BZ305">
        <v>253</v>
      </c>
      <c r="CA305" t="s">
        <v>502</v>
      </c>
      <c r="CB305">
        <v>5736.3274988453268</v>
      </c>
      <c r="CC305" t="s">
        <v>984</v>
      </c>
    </row>
    <row r="306" spans="78:81">
      <c r="BZ306">
        <v>254</v>
      </c>
      <c r="CA306" t="s">
        <v>503</v>
      </c>
      <c r="CB306">
        <v>5779.6337463741511</v>
      </c>
      <c r="CC306" t="s">
        <v>985</v>
      </c>
    </row>
    <row r="307" spans="78:81">
      <c r="BZ307">
        <v>255</v>
      </c>
      <c r="CA307" t="s">
        <v>504</v>
      </c>
      <c r="CB307">
        <v>6625.4755473814785</v>
      </c>
      <c r="CC307" t="s">
        <v>488</v>
      </c>
    </row>
    <row r="308" spans="78:81">
      <c r="BZ308">
        <v>256</v>
      </c>
      <c r="CA308" t="s">
        <v>505</v>
      </c>
      <c r="CB308">
        <v>6662.3607245108869</v>
      </c>
      <c r="CC308" t="s">
        <v>983</v>
      </c>
    </row>
    <row r="309" spans="78:81">
      <c r="BZ309">
        <v>257</v>
      </c>
      <c r="CA309" t="s">
        <v>506</v>
      </c>
      <c r="CB309">
        <v>5879.6575104188396</v>
      </c>
      <c r="CC309" t="s">
        <v>984</v>
      </c>
    </row>
    <row r="310" spans="78:81">
      <c r="BZ310">
        <v>258</v>
      </c>
      <c r="CA310" t="s">
        <v>507</v>
      </c>
      <c r="CB310">
        <v>5595.8628522700528</v>
      </c>
      <c r="CC310" t="s">
        <v>985</v>
      </c>
    </row>
    <row r="311" spans="78:81">
      <c r="BZ311">
        <v>259</v>
      </c>
      <c r="CA311" t="s">
        <v>508</v>
      </c>
      <c r="CB311">
        <v>6545.6403503189267</v>
      </c>
      <c r="CC311" t="s">
        <v>986</v>
      </c>
    </row>
    <row r="312" spans="78:81">
      <c r="BZ312">
        <v>260</v>
      </c>
      <c r="CA312" t="s">
        <v>509</v>
      </c>
      <c r="CB312">
        <v>5895.5475967971297</v>
      </c>
      <c r="CC312" t="s">
        <v>984</v>
      </c>
    </row>
    <row r="313" spans="78:81">
      <c r="BZ313">
        <v>261</v>
      </c>
      <c r="CA313" t="s">
        <v>510</v>
      </c>
      <c r="CB313">
        <v>5625.4851960750384</v>
      </c>
      <c r="CC313" t="s">
        <v>985</v>
      </c>
    </row>
    <row r="314" spans="78:81">
      <c r="BZ314">
        <v>262</v>
      </c>
      <c r="CA314" t="s">
        <v>511</v>
      </c>
      <c r="CB314">
        <v>6603.1832578556314</v>
      </c>
      <c r="CC314" t="s">
        <v>984</v>
      </c>
    </row>
    <row r="315" spans="78:81">
      <c r="BZ315">
        <v>263</v>
      </c>
      <c r="CA315" t="s">
        <v>512</v>
      </c>
      <c r="CB315">
        <v>6098.0550750258981</v>
      </c>
      <c r="CC315" t="s">
        <v>983</v>
      </c>
    </row>
    <row r="316" spans="78:81">
      <c r="BZ316">
        <v>264</v>
      </c>
      <c r="CA316" t="s">
        <v>513</v>
      </c>
      <c r="CB316">
        <v>5861.2478656165549</v>
      </c>
      <c r="CC316" t="s">
        <v>983</v>
      </c>
    </row>
    <row r="317" spans="78:81">
      <c r="BZ317">
        <v>265</v>
      </c>
      <c r="CA317" t="s">
        <v>514</v>
      </c>
      <c r="CB317">
        <v>6188.0375506721693</v>
      </c>
      <c r="CC317" t="s">
        <v>981</v>
      </c>
    </row>
    <row r="318" spans="78:81">
      <c r="BZ318">
        <v>266</v>
      </c>
      <c r="CA318" t="s">
        <v>515</v>
      </c>
      <c r="CB318">
        <v>6188.0375506721693</v>
      </c>
      <c r="CC318" t="s">
        <v>981</v>
      </c>
    </row>
    <row r="319" spans="78:81">
      <c r="BZ319">
        <v>267</v>
      </c>
      <c r="CA319" t="s">
        <v>516</v>
      </c>
      <c r="CB319">
        <v>6188.0375506721693</v>
      </c>
      <c r="CC319" t="s">
        <v>981</v>
      </c>
    </row>
    <row r="320" spans="78:81">
      <c r="BZ320">
        <v>268</v>
      </c>
      <c r="CA320" t="s">
        <v>517</v>
      </c>
      <c r="CB320">
        <v>6188.0375506721693</v>
      </c>
      <c r="CC320" t="s">
        <v>981</v>
      </c>
    </row>
    <row r="321" spans="78:81">
      <c r="BZ321">
        <v>269</v>
      </c>
      <c r="CA321" t="s">
        <v>518</v>
      </c>
      <c r="CB321">
        <v>6188.0375506721693</v>
      </c>
      <c r="CC321" t="s">
        <v>981</v>
      </c>
    </row>
    <row r="322" spans="78:81">
      <c r="BZ322">
        <v>270</v>
      </c>
      <c r="CA322" t="s">
        <v>519</v>
      </c>
      <c r="CB322">
        <v>6188.0375506721693</v>
      </c>
      <c r="CC322" t="s">
        <v>981</v>
      </c>
    </row>
    <row r="323" spans="78:81">
      <c r="BZ323">
        <v>271</v>
      </c>
      <c r="CA323" t="s">
        <v>520</v>
      </c>
      <c r="CB323">
        <v>6068.5918268773949</v>
      </c>
      <c r="CC323" t="s">
        <v>981</v>
      </c>
    </row>
    <row r="324" spans="78:81">
      <c r="BZ324">
        <v>272</v>
      </c>
      <c r="CA324" t="s">
        <v>521</v>
      </c>
      <c r="CB324">
        <v>6068.5918268773949</v>
      </c>
      <c r="CC324" t="s">
        <v>981</v>
      </c>
    </row>
    <row r="325" spans="78:81">
      <c r="BZ325">
        <v>273</v>
      </c>
      <c r="CA325" t="s">
        <v>522</v>
      </c>
      <c r="CB325">
        <v>6068.5918268773949</v>
      </c>
      <c r="CC325" t="s">
        <v>981</v>
      </c>
    </row>
    <row r="326" spans="78:81">
      <c r="BZ326">
        <v>274</v>
      </c>
      <c r="CA326" t="s">
        <v>523</v>
      </c>
      <c r="CB326">
        <v>6068.5918268773949</v>
      </c>
      <c r="CC326" t="s">
        <v>981</v>
      </c>
    </row>
    <row r="327" spans="78:81">
      <c r="BZ327">
        <v>275</v>
      </c>
      <c r="CA327" t="s">
        <v>524</v>
      </c>
      <c r="CB327">
        <v>6068.5918268773949</v>
      </c>
      <c r="CC327" t="s">
        <v>981</v>
      </c>
    </row>
    <row r="328" spans="78:81">
      <c r="BZ328">
        <v>276</v>
      </c>
      <c r="CA328" t="s">
        <v>525</v>
      </c>
      <c r="CB328">
        <v>6068.5918268773949</v>
      </c>
      <c r="CC328" t="s">
        <v>981</v>
      </c>
    </row>
    <row r="329" spans="78:81">
      <c r="BZ329">
        <v>277</v>
      </c>
      <c r="CA329" t="s">
        <v>526</v>
      </c>
      <c r="CB329">
        <v>6305.399036286738</v>
      </c>
      <c r="CC329" t="s">
        <v>981</v>
      </c>
    </row>
    <row r="330" spans="78:81">
      <c r="BZ330">
        <v>278</v>
      </c>
      <c r="CA330" t="s">
        <v>527</v>
      </c>
      <c r="CB330">
        <v>6305.399036286738</v>
      </c>
      <c r="CC330" t="s">
        <v>981</v>
      </c>
    </row>
    <row r="331" spans="78:81">
      <c r="BZ331">
        <v>279</v>
      </c>
      <c r="CA331" t="s">
        <v>528</v>
      </c>
      <c r="CB331">
        <v>6305.399036286738</v>
      </c>
      <c r="CC331" t="s">
        <v>981</v>
      </c>
    </row>
    <row r="332" spans="78:81">
      <c r="BZ332">
        <v>280</v>
      </c>
      <c r="CA332" t="s">
        <v>529</v>
      </c>
      <c r="CB332">
        <v>6305.399036286738</v>
      </c>
      <c r="CC332" t="s">
        <v>981</v>
      </c>
    </row>
    <row r="333" spans="78:81">
      <c r="BZ333">
        <v>281</v>
      </c>
      <c r="CA333" t="s">
        <v>530</v>
      </c>
      <c r="CB333">
        <v>6305.399036286738</v>
      </c>
      <c r="CC333" t="s">
        <v>981</v>
      </c>
    </row>
    <row r="334" spans="78:81">
      <c r="BZ334">
        <v>282</v>
      </c>
      <c r="CA334" t="s">
        <v>531</v>
      </c>
      <c r="CB334">
        <v>6305.399036286738</v>
      </c>
      <c r="CC334" t="s">
        <v>981</v>
      </c>
    </row>
    <row r="335" spans="78:81">
      <c r="BZ335">
        <v>283</v>
      </c>
      <c r="CA335" t="s">
        <v>532</v>
      </c>
      <c r="CB335">
        <v>6116.5565945299495</v>
      </c>
      <c r="CC335" t="s">
        <v>981</v>
      </c>
    </row>
    <row r="336" spans="78:81">
      <c r="BZ336">
        <v>284</v>
      </c>
      <c r="CA336" t="s">
        <v>533</v>
      </c>
      <c r="CB336">
        <v>6116.5565945299495</v>
      </c>
      <c r="CC336" t="s">
        <v>981</v>
      </c>
    </row>
    <row r="337" spans="78:81">
      <c r="BZ337">
        <v>285</v>
      </c>
      <c r="CA337" t="s">
        <v>534</v>
      </c>
      <c r="CB337">
        <v>6116.5565945299495</v>
      </c>
      <c r="CC337" t="s">
        <v>981</v>
      </c>
    </row>
    <row r="338" spans="78:81">
      <c r="BZ338">
        <v>286</v>
      </c>
      <c r="CA338" t="s">
        <v>535</v>
      </c>
      <c r="CB338">
        <v>6116.5565945299495</v>
      </c>
      <c r="CC338" t="s">
        <v>981</v>
      </c>
    </row>
    <row r="339" spans="78:81">
      <c r="BZ339">
        <v>287</v>
      </c>
      <c r="CA339" t="s">
        <v>536</v>
      </c>
      <c r="CB339">
        <v>6116.5565945299495</v>
      </c>
      <c r="CC339" t="s">
        <v>981</v>
      </c>
    </row>
    <row r="340" spans="78:81">
      <c r="BZ340">
        <v>288</v>
      </c>
      <c r="CA340" t="s">
        <v>537</v>
      </c>
      <c r="CB340">
        <v>6116.5565945299495</v>
      </c>
      <c r="CC340" t="s">
        <v>981</v>
      </c>
    </row>
    <row r="341" spans="78:81">
      <c r="BZ341">
        <v>289</v>
      </c>
      <c r="CA341" t="s">
        <v>538</v>
      </c>
      <c r="CB341">
        <v>5787.4660989170379</v>
      </c>
      <c r="CC341" t="s">
        <v>982</v>
      </c>
    </row>
    <row r="342" spans="78:81">
      <c r="BZ342">
        <v>290</v>
      </c>
      <c r="CA342" t="s">
        <v>539</v>
      </c>
      <c r="CB342">
        <v>5787.4660989170379</v>
      </c>
      <c r="CC342" t="s">
        <v>982</v>
      </c>
    </row>
    <row r="343" spans="78:81">
      <c r="BZ343">
        <v>291</v>
      </c>
      <c r="CA343" t="s">
        <v>540</v>
      </c>
      <c r="CB343">
        <v>5904.8275845316066</v>
      </c>
      <c r="CC343" t="s">
        <v>982</v>
      </c>
    </row>
    <row r="344" spans="78:81">
      <c r="BZ344">
        <v>292</v>
      </c>
      <c r="CA344" t="s">
        <v>541</v>
      </c>
      <c r="CB344">
        <v>5904.8275845316066</v>
      </c>
      <c r="CC344" t="s">
        <v>982</v>
      </c>
    </row>
    <row r="345" spans="78:81">
      <c r="BZ345">
        <v>293</v>
      </c>
      <c r="CA345" t="s">
        <v>542</v>
      </c>
      <c r="CB345">
        <v>5715.9851427748181</v>
      </c>
      <c r="CC345" t="s">
        <v>982</v>
      </c>
    </row>
    <row r="346" spans="78:81">
      <c r="BZ346">
        <v>294</v>
      </c>
      <c r="CA346" t="s">
        <v>543</v>
      </c>
      <c r="CB346">
        <v>5715.9851427748181</v>
      </c>
      <c r="CC346" t="s">
        <v>982</v>
      </c>
    </row>
    <row r="347" spans="78:81">
      <c r="BZ347">
        <v>295</v>
      </c>
      <c r="CA347" t="s">
        <v>544</v>
      </c>
      <c r="CB347">
        <v>6364.4013630448999</v>
      </c>
      <c r="CC347" t="s">
        <v>983</v>
      </c>
    </row>
    <row r="348" spans="78:81">
      <c r="BZ348">
        <v>296</v>
      </c>
      <c r="CA348" t="s">
        <v>545</v>
      </c>
      <c r="CB348">
        <v>6175.5589212881114</v>
      </c>
      <c r="CC348" t="s">
        <v>983</v>
      </c>
    </row>
    <row r="349" spans="78:81">
      <c r="BZ349">
        <v>297</v>
      </c>
      <c r="CA349" t="s">
        <v>546</v>
      </c>
      <c r="CB349">
        <v>6662.3607245108869</v>
      </c>
      <c r="CC349" t="s">
        <v>984</v>
      </c>
    </row>
    <row r="350" spans="78:81">
      <c r="BZ350">
        <v>298</v>
      </c>
      <c r="CA350" t="s">
        <v>547</v>
      </c>
      <c r="CB350">
        <v>5816.7799753011059</v>
      </c>
      <c r="CC350" t="s">
        <v>985</v>
      </c>
    </row>
    <row r="351" spans="78:81">
      <c r="BZ351">
        <v>299</v>
      </c>
      <c r="CA351" t="s">
        <v>548</v>
      </c>
      <c r="CB351">
        <v>6561.0643148189638</v>
      </c>
      <c r="CC351" t="s">
        <v>986</v>
      </c>
    </row>
    <row r="352" spans="78:81">
      <c r="BZ352">
        <v>300</v>
      </c>
      <c r="CA352" t="s">
        <v>549</v>
      </c>
      <c r="CB352">
        <v>6098.0550750258981</v>
      </c>
      <c r="CC352" t="s">
        <v>984</v>
      </c>
    </row>
    <row r="353" spans="78:81">
      <c r="BZ353">
        <v>301</v>
      </c>
      <c r="CA353" t="s">
        <v>550</v>
      </c>
      <c r="CB353">
        <v>6212.705150215068</v>
      </c>
      <c r="CC353" t="s">
        <v>984</v>
      </c>
    </row>
    <row r="354" spans="78:81">
      <c r="BZ354">
        <v>302</v>
      </c>
      <c r="CA354" t="s">
        <v>551</v>
      </c>
      <c r="CB354">
        <v>5798.3703304988212</v>
      </c>
      <c r="CC354" t="s">
        <v>985</v>
      </c>
    </row>
    <row r="355" spans="78:81">
      <c r="BZ355">
        <v>303</v>
      </c>
      <c r="CA355" t="s">
        <v>552</v>
      </c>
      <c r="CB355">
        <v>6715.1050965284367</v>
      </c>
      <c r="CC355" t="s">
        <v>983</v>
      </c>
    </row>
    <row r="356" spans="78:81">
      <c r="BZ356">
        <v>304</v>
      </c>
      <c r="CA356" t="s">
        <v>553</v>
      </c>
      <c r="CB356">
        <v>6643.6241403862168</v>
      </c>
      <c r="CC356" t="s">
        <v>983</v>
      </c>
    </row>
    <row r="357" spans="78:81">
      <c r="BZ357">
        <v>305</v>
      </c>
      <c r="CA357" t="s">
        <v>554</v>
      </c>
      <c r="CB357">
        <v>5999.1032342136141</v>
      </c>
      <c r="CC357" t="s">
        <v>984</v>
      </c>
    </row>
    <row r="358" spans="78:81">
      <c r="BZ358">
        <v>306</v>
      </c>
      <c r="CA358" t="s">
        <v>555</v>
      </c>
      <c r="CB358">
        <v>6072.2405036397922</v>
      </c>
      <c r="CC358" t="s">
        <v>985</v>
      </c>
    </row>
    <row r="359" spans="78:81">
      <c r="BZ359">
        <v>307</v>
      </c>
      <c r="CA359" t="s">
        <v>556</v>
      </c>
      <c r="CB359">
        <v>6584.0503477745006</v>
      </c>
      <c r="CC359" t="s">
        <v>986</v>
      </c>
    </row>
    <row r="360" spans="78:81">
      <c r="BZ360">
        <v>308</v>
      </c>
      <c r="CA360" t="s">
        <v>557</v>
      </c>
      <c r="CB360">
        <v>6371.9252481668691</v>
      </c>
      <c r="CC360" t="s">
        <v>984</v>
      </c>
    </row>
    <row r="361" spans="78:81">
      <c r="BZ361">
        <v>309</v>
      </c>
      <c r="CA361" t="s">
        <v>558</v>
      </c>
      <c r="CB361">
        <v>6107.700788515368</v>
      </c>
      <c r="CC361" t="s">
        <v>986</v>
      </c>
    </row>
    <row r="362" spans="78:81">
      <c r="BZ362">
        <v>310</v>
      </c>
      <c r="CA362" t="s">
        <v>559</v>
      </c>
      <c r="CB362">
        <v>6722.6289816504059</v>
      </c>
      <c r="CC362" t="s">
        <v>984</v>
      </c>
    </row>
    <row r="363" spans="78:81">
      <c r="BZ363">
        <v>311</v>
      </c>
      <c r="CA363" t="s">
        <v>560</v>
      </c>
      <c r="CB363">
        <v>6079.318490901228</v>
      </c>
      <c r="CC363" t="s">
        <v>983</v>
      </c>
    </row>
    <row r="364" spans="78:81">
      <c r="BZ364">
        <v>312</v>
      </c>
      <c r="CA364" t="s">
        <v>561</v>
      </c>
      <c r="CB364">
        <v>5961.9570052866593</v>
      </c>
      <c r="CC364" t="s">
        <v>983</v>
      </c>
    </row>
    <row r="365" spans="78:81">
      <c r="BZ365">
        <v>313</v>
      </c>
      <c r="CA365" t="s">
        <v>562</v>
      </c>
      <c r="CB365">
        <v>6621.5134892816195</v>
      </c>
      <c r="CC365" t="s">
        <v>639</v>
      </c>
    </row>
    <row r="366" spans="78:81">
      <c r="BZ366">
        <v>314</v>
      </c>
      <c r="CA366" t="s">
        <v>563</v>
      </c>
      <c r="CB366">
        <v>6621.5134892816195</v>
      </c>
      <c r="CC366" t="s">
        <v>639</v>
      </c>
    </row>
    <row r="367" spans="78:81">
      <c r="BZ367" s="93">
        <v>315</v>
      </c>
      <c r="CA367" s="93" t="s">
        <v>564</v>
      </c>
      <c r="CB367" s="93">
        <v>6731.9089693848828</v>
      </c>
      <c r="CC367" s="93" t="s">
        <v>982</v>
      </c>
    </row>
    <row r="368" spans="78:81">
      <c r="BZ368">
        <v>316</v>
      </c>
      <c r="CA368" t="s">
        <v>565</v>
      </c>
      <c r="CB368">
        <v>6731.9089693848828</v>
      </c>
      <c r="CC368" t="s">
        <v>982</v>
      </c>
    </row>
    <row r="369" spans="78:81">
      <c r="BZ369">
        <v>317</v>
      </c>
      <c r="CA369" t="s">
        <v>566</v>
      </c>
      <c r="CB369">
        <v>6660.4280132426629</v>
      </c>
      <c r="CC369" t="s">
        <v>982</v>
      </c>
    </row>
    <row r="370" spans="78:81">
      <c r="BZ370">
        <v>318</v>
      </c>
      <c r="CA370" t="s">
        <v>567</v>
      </c>
      <c r="CB370">
        <v>6660.4280132426629</v>
      </c>
      <c r="CC370" t="s">
        <v>982</v>
      </c>
    </row>
    <row r="371" spans="78:81">
      <c r="BZ371">
        <v>319</v>
      </c>
      <c r="CA371" t="s">
        <v>568</v>
      </c>
      <c r="CB371">
        <v>5807.8084549875466</v>
      </c>
      <c r="CC371" t="s">
        <v>983</v>
      </c>
    </row>
    <row r="372" spans="78:81">
      <c r="BZ372">
        <v>320</v>
      </c>
      <c r="CA372" t="s">
        <v>569</v>
      </c>
      <c r="CB372">
        <v>5736.3274988453268</v>
      </c>
      <c r="CC372" t="s">
        <v>983</v>
      </c>
    </row>
    <row r="373" spans="78:81">
      <c r="BZ373">
        <v>321</v>
      </c>
      <c r="CA373" t="s">
        <v>570</v>
      </c>
      <c r="CB373">
        <v>6175.5589212881114</v>
      </c>
      <c r="CC373" t="s">
        <v>984</v>
      </c>
    </row>
    <row r="374" spans="78:81">
      <c r="BZ374">
        <v>322</v>
      </c>
      <c r="CA374" t="s">
        <v>571</v>
      </c>
      <c r="CB374">
        <v>5798.3703304988212</v>
      </c>
      <c r="CC374" t="s">
        <v>985</v>
      </c>
    </row>
    <row r="375" spans="78:81">
      <c r="BZ375">
        <v>323</v>
      </c>
      <c r="CA375" t="s">
        <v>572</v>
      </c>
      <c r="CB375">
        <v>6072.2405036397922</v>
      </c>
      <c r="CC375" t="s">
        <v>985</v>
      </c>
    </row>
    <row r="376" spans="78:81">
      <c r="BZ376">
        <v>324</v>
      </c>
      <c r="CA376" t="s">
        <v>573</v>
      </c>
      <c r="CB376">
        <v>5961.9570052866593</v>
      </c>
      <c r="CC376" t="s">
        <v>984</v>
      </c>
    </row>
    <row r="377" spans="78:81">
      <c r="BZ377">
        <v>325</v>
      </c>
      <c r="CA377" t="s">
        <v>574</v>
      </c>
      <c r="CB377">
        <v>5717.9178540430421</v>
      </c>
      <c r="CC377" t="s">
        <v>984</v>
      </c>
    </row>
    <row r="378" spans="78:81">
      <c r="BZ378">
        <v>326</v>
      </c>
      <c r="CA378" t="s">
        <v>575</v>
      </c>
      <c r="CB378">
        <v>5779.6337463741511</v>
      </c>
      <c r="CC378" t="s">
        <v>985</v>
      </c>
    </row>
    <row r="379" spans="78:81">
      <c r="BZ379">
        <v>327</v>
      </c>
      <c r="CA379" t="s">
        <v>576</v>
      </c>
      <c r="CB379">
        <v>6164.7403825625133</v>
      </c>
      <c r="CC379" t="s">
        <v>983</v>
      </c>
    </row>
    <row r="380" spans="78:81">
      <c r="BZ380">
        <v>328</v>
      </c>
      <c r="CA380" t="s">
        <v>577</v>
      </c>
      <c r="CB380">
        <v>6212.705150215068</v>
      </c>
      <c r="CC380" t="s">
        <v>983</v>
      </c>
    </row>
    <row r="381" spans="78:81">
      <c r="BZ381">
        <v>329</v>
      </c>
      <c r="CA381" t="s">
        <v>578</v>
      </c>
      <c r="CB381">
        <v>5861.2478656165549</v>
      </c>
      <c r="CC381" t="s">
        <v>984</v>
      </c>
    </row>
    <row r="382" spans="78:81">
      <c r="BZ382">
        <v>330</v>
      </c>
      <c r="CA382" t="s">
        <v>579</v>
      </c>
      <c r="CB382">
        <v>5595.8628522700528</v>
      </c>
      <c r="CC382" t="s">
        <v>985</v>
      </c>
    </row>
    <row r="383" spans="78:81">
      <c r="BZ383">
        <v>331</v>
      </c>
      <c r="CA383" t="s">
        <v>580</v>
      </c>
      <c r="CB383">
        <v>6064.716618517823</v>
      </c>
      <c r="CC383" t="s">
        <v>985</v>
      </c>
    </row>
    <row r="384" spans="78:81">
      <c r="BZ384">
        <v>332</v>
      </c>
      <c r="CA384" t="s">
        <v>581</v>
      </c>
      <c r="CB384">
        <v>5778.186111182561</v>
      </c>
      <c r="CC384" t="s">
        <v>984</v>
      </c>
    </row>
    <row r="385" spans="78:81">
      <c r="BZ385">
        <v>333</v>
      </c>
      <c r="CA385" t="s">
        <v>582</v>
      </c>
      <c r="CB385">
        <v>5607.0755512727537</v>
      </c>
      <c r="CC385" t="s">
        <v>985</v>
      </c>
    </row>
    <row r="386" spans="78:81">
      <c r="BZ386">
        <v>334</v>
      </c>
      <c r="CA386" t="s">
        <v>583</v>
      </c>
      <c r="CB386">
        <v>6135.1180387575259</v>
      </c>
      <c r="CC386" t="s">
        <v>984</v>
      </c>
    </row>
    <row r="387" spans="78:81">
      <c r="BZ387">
        <v>335</v>
      </c>
      <c r="CA387" t="s">
        <v>584</v>
      </c>
      <c r="CB387">
        <v>5999.1032342136141</v>
      </c>
      <c r="CC387" t="s">
        <v>983</v>
      </c>
    </row>
    <row r="388" spans="78:81">
      <c r="BZ388">
        <v>336</v>
      </c>
      <c r="CA388" t="s">
        <v>585</v>
      </c>
      <c r="CB388">
        <v>5879.6575104188396</v>
      </c>
      <c r="CC388" t="s">
        <v>983</v>
      </c>
    </row>
    <row r="389" spans="78:81">
      <c r="BZ389">
        <v>337</v>
      </c>
      <c r="CA389" t="s">
        <v>586</v>
      </c>
      <c r="CB389">
        <v>5859.3151543483309</v>
      </c>
      <c r="CC389" t="s">
        <v>982</v>
      </c>
    </row>
    <row r="390" spans="78:81">
      <c r="BZ390">
        <v>338</v>
      </c>
      <c r="CA390" t="s">
        <v>587</v>
      </c>
      <c r="CB390">
        <v>5859.3151543483309</v>
      </c>
      <c r="CC390" t="s">
        <v>982</v>
      </c>
    </row>
    <row r="391" spans="78:81">
      <c r="BZ391">
        <v>339</v>
      </c>
      <c r="CA391" t="s">
        <v>588</v>
      </c>
      <c r="CB391">
        <v>6096.1223637576741</v>
      </c>
      <c r="CC391" t="s">
        <v>982</v>
      </c>
    </row>
    <row r="392" spans="78:81">
      <c r="BZ392">
        <v>340</v>
      </c>
      <c r="CA392" t="s">
        <v>589</v>
      </c>
      <c r="CB392">
        <v>6096.1223637576741</v>
      </c>
      <c r="CC392" t="s">
        <v>982</v>
      </c>
    </row>
    <row r="393" spans="78:81">
      <c r="BZ393">
        <v>341</v>
      </c>
      <c r="CA393" t="s">
        <v>590</v>
      </c>
      <c r="CB393">
        <v>5978.7608781431054</v>
      </c>
      <c r="CC393" t="s">
        <v>982</v>
      </c>
    </row>
    <row r="394" spans="78:81">
      <c r="BZ394">
        <v>342</v>
      </c>
      <c r="CA394" t="s">
        <v>591</v>
      </c>
      <c r="CB394">
        <v>5978.7608781431054</v>
      </c>
      <c r="CC394" t="s">
        <v>982</v>
      </c>
    </row>
    <row r="395" spans="78:81">
      <c r="BZ395">
        <v>343</v>
      </c>
      <c r="CA395" t="s">
        <v>592</v>
      </c>
      <c r="CB395">
        <v>5895.5475967971297</v>
      </c>
      <c r="CC395" t="s">
        <v>983</v>
      </c>
    </row>
    <row r="396" spans="78:81">
      <c r="BZ396">
        <v>344</v>
      </c>
      <c r="CA396" t="s">
        <v>593</v>
      </c>
      <c r="CB396">
        <v>5778.186111182561</v>
      </c>
      <c r="CC396" t="s">
        <v>983</v>
      </c>
    </row>
    <row r="397" spans="78:81">
      <c r="BZ397">
        <v>345</v>
      </c>
      <c r="CA397" t="s">
        <v>594</v>
      </c>
      <c r="CB397">
        <v>6715.1050965284367</v>
      </c>
      <c r="CC397" t="s">
        <v>984</v>
      </c>
    </row>
    <row r="398" spans="78:81">
      <c r="BZ398">
        <v>346</v>
      </c>
      <c r="CA398" t="s">
        <v>595</v>
      </c>
      <c r="CB398">
        <v>6107.700788515368</v>
      </c>
      <c r="CC398" t="s">
        <v>986</v>
      </c>
    </row>
    <row r="399" spans="78:81">
      <c r="BZ399">
        <v>347</v>
      </c>
      <c r="CA399" t="s">
        <v>596</v>
      </c>
      <c r="CB399">
        <v>6584.0503477745006</v>
      </c>
      <c r="CC399" t="s">
        <v>986</v>
      </c>
    </row>
    <row r="400" spans="78:81">
      <c r="BZ400">
        <v>348</v>
      </c>
      <c r="CA400" t="s">
        <v>597</v>
      </c>
      <c r="CB400">
        <v>6364.4013630448999</v>
      </c>
      <c r="CC400" t="s">
        <v>984</v>
      </c>
    </row>
    <row r="401" spans="78:81">
      <c r="BZ401">
        <v>349</v>
      </c>
      <c r="CA401" t="s">
        <v>598</v>
      </c>
      <c r="CB401">
        <v>5807.8084549875466</v>
      </c>
      <c r="CC401" t="s">
        <v>984</v>
      </c>
    </row>
    <row r="402" spans="78:81">
      <c r="BZ402">
        <v>350</v>
      </c>
      <c r="CA402" t="s">
        <v>599</v>
      </c>
      <c r="CB402">
        <v>6064.716618517823</v>
      </c>
      <c r="CC402" t="s">
        <v>985</v>
      </c>
    </row>
    <row r="403" spans="78:81">
      <c r="BZ403">
        <v>351</v>
      </c>
      <c r="CA403" t="s">
        <v>600</v>
      </c>
      <c r="CB403">
        <v>6603.1832578556314</v>
      </c>
      <c r="CC403" t="s">
        <v>983</v>
      </c>
    </row>
    <row r="404" spans="78:81">
      <c r="BZ404">
        <v>352</v>
      </c>
      <c r="CA404" t="s">
        <v>601</v>
      </c>
      <c r="CB404">
        <v>6722.6289816504059</v>
      </c>
      <c r="CC404" t="s">
        <v>983</v>
      </c>
    </row>
    <row r="405" spans="78:81">
      <c r="BZ405">
        <v>353</v>
      </c>
      <c r="CA405" t="s">
        <v>602</v>
      </c>
      <c r="CB405">
        <v>6164.7403825625133</v>
      </c>
      <c r="CC405" t="s">
        <v>984</v>
      </c>
    </row>
    <row r="406" spans="78:81">
      <c r="BZ406">
        <v>354</v>
      </c>
      <c r="CA406" t="s">
        <v>603</v>
      </c>
      <c r="CB406">
        <v>5607.0755512727537</v>
      </c>
      <c r="CC406" t="s">
        <v>985</v>
      </c>
    </row>
    <row r="407" spans="78:81">
      <c r="BZ407">
        <v>355</v>
      </c>
      <c r="CA407" t="s">
        <v>604</v>
      </c>
      <c r="CB407">
        <v>6545.6403503189267</v>
      </c>
      <c r="CC407" t="s">
        <v>986</v>
      </c>
    </row>
    <row r="408" spans="78:81">
      <c r="BZ408">
        <v>356</v>
      </c>
      <c r="CA408" t="s">
        <v>605</v>
      </c>
      <c r="CB408">
        <v>5906.7602957998306</v>
      </c>
      <c r="CC408" t="s">
        <v>984</v>
      </c>
    </row>
    <row r="409" spans="78:81">
      <c r="BZ409">
        <v>357</v>
      </c>
      <c r="CA409" t="s">
        <v>606</v>
      </c>
      <c r="CB409">
        <v>5625.4851960750384</v>
      </c>
      <c r="CC409" t="s">
        <v>985</v>
      </c>
    </row>
    <row r="410" spans="78:81">
      <c r="BZ410">
        <v>358</v>
      </c>
      <c r="CA410" t="s">
        <v>607</v>
      </c>
      <c r="CB410">
        <v>6625.4755473814785</v>
      </c>
      <c r="CC410" t="s">
        <v>703</v>
      </c>
    </row>
    <row r="411" spans="78:81">
      <c r="BZ411">
        <v>359</v>
      </c>
      <c r="CA411" t="s">
        <v>608</v>
      </c>
      <c r="CB411">
        <v>6371.9252481668691</v>
      </c>
      <c r="CC411" t="s">
        <v>983</v>
      </c>
    </row>
    <row r="412" spans="78:81">
      <c r="BZ412">
        <v>360</v>
      </c>
      <c r="CA412" t="s">
        <v>609</v>
      </c>
      <c r="CB412">
        <v>6135.1180387575259</v>
      </c>
      <c r="CC412" t="s">
        <v>983</v>
      </c>
    </row>
    <row r="413" spans="78:81">
      <c r="BZ413" s="93">
        <v>361</v>
      </c>
      <c r="CA413" s="93" t="s">
        <v>610</v>
      </c>
      <c r="CB413" s="93">
        <v>6333.9987631749746</v>
      </c>
      <c r="CC413" s="93" t="s">
        <v>983</v>
      </c>
    </row>
    <row r="414" spans="78:81">
      <c r="BZ414">
        <v>362</v>
      </c>
      <c r="CA414" t="s">
        <v>611</v>
      </c>
      <c r="CB414">
        <v>6145.1563214181861</v>
      </c>
      <c r="CC414" t="s">
        <v>983</v>
      </c>
    </row>
    <row r="415" spans="78:81">
      <c r="BZ415">
        <v>363</v>
      </c>
      <c r="CA415" t="s">
        <v>612</v>
      </c>
      <c r="CB415">
        <v>6660.4280132426629</v>
      </c>
      <c r="CC415" t="s">
        <v>984</v>
      </c>
    </row>
    <row r="416" spans="78:81">
      <c r="BZ416">
        <v>364</v>
      </c>
      <c r="CA416" t="s">
        <v>613</v>
      </c>
      <c r="CB416">
        <v>5816.7799753011059</v>
      </c>
      <c r="CC416" t="s">
        <v>985</v>
      </c>
    </row>
    <row r="417" spans="78:81">
      <c r="BZ417">
        <v>365</v>
      </c>
      <c r="CA417" t="s">
        <v>614</v>
      </c>
      <c r="CB417">
        <v>6561.0643148189638</v>
      </c>
      <c r="CC417" t="s">
        <v>986</v>
      </c>
    </row>
    <row r="418" spans="78:81">
      <c r="BZ418">
        <v>366</v>
      </c>
      <c r="CA418" t="s">
        <v>615</v>
      </c>
      <c r="CB418">
        <v>6096.1223637576741</v>
      </c>
      <c r="CC418" t="s">
        <v>984</v>
      </c>
    </row>
    <row r="419" spans="78:81">
      <c r="BZ419">
        <v>367</v>
      </c>
      <c r="CA419" t="s">
        <v>616</v>
      </c>
      <c r="CB419">
        <v>6234.7188430954029</v>
      </c>
      <c r="CC419" t="s">
        <v>982</v>
      </c>
    </row>
    <row r="420" spans="78:81">
      <c r="BZ420">
        <v>368</v>
      </c>
      <c r="CA420" t="s">
        <v>617</v>
      </c>
      <c r="CB420">
        <v>6234.7188430954029</v>
      </c>
      <c r="CC420" t="s">
        <v>982</v>
      </c>
    </row>
    <row r="421" spans="78:81">
      <c r="BZ421">
        <v>369</v>
      </c>
      <c r="CA421" t="s">
        <v>618</v>
      </c>
      <c r="CB421">
        <v>6364.4013630448999</v>
      </c>
      <c r="CC421" t="s">
        <v>982</v>
      </c>
    </row>
    <row r="422" spans="78:81">
      <c r="BZ422">
        <v>370</v>
      </c>
      <c r="CA422" t="s">
        <v>619</v>
      </c>
      <c r="CB422">
        <v>6364.4013630448999</v>
      </c>
      <c r="CC422" t="s">
        <v>982</v>
      </c>
    </row>
    <row r="423" spans="78:81">
      <c r="BZ423">
        <v>371</v>
      </c>
      <c r="CA423" t="s">
        <v>620</v>
      </c>
      <c r="CB423">
        <v>6175.5589212881114</v>
      </c>
      <c r="CC423" t="s">
        <v>982</v>
      </c>
    </row>
    <row r="424" spans="78:81">
      <c r="BZ424">
        <v>372</v>
      </c>
      <c r="CA424" t="s">
        <v>621</v>
      </c>
      <c r="CB424">
        <v>6175.5589212881114</v>
      </c>
      <c r="CC424" t="s">
        <v>982</v>
      </c>
    </row>
    <row r="425" spans="78:81">
      <c r="BZ425">
        <v>373</v>
      </c>
      <c r="CA425" t="s">
        <v>622</v>
      </c>
      <c r="CB425">
        <v>6721.5206463181785</v>
      </c>
      <c r="CC425" t="s">
        <v>983</v>
      </c>
    </row>
    <row r="426" spans="78:81">
      <c r="BZ426">
        <v>374</v>
      </c>
      <c r="CA426" t="s">
        <v>623</v>
      </c>
      <c r="CB426">
        <v>6662.3607245108869</v>
      </c>
      <c r="CC426" t="s">
        <v>983</v>
      </c>
    </row>
    <row r="427" spans="78:81">
      <c r="BZ427">
        <v>375</v>
      </c>
      <c r="CA427" t="s">
        <v>624</v>
      </c>
      <c r="CB427">
        <v>6163.5659662204707</v>
      </c>
      <c r="CC427" t="s">
        <v>984</v>
      </c>
    </row>
    <row r="428" spans="78:81">
      <c r="BZ428">
        <v>376</v>
      </c>
      <c r="CA428" t="s">
        <v>625</v>
      </c>
      <c r="CB428">
        <v>5796.4376192305972</v>
      </c>
      <c r="CC428" t="s">
        <v>985</v>
      </c>
    </row>
    <row r="429" spans="78:81">
      <c r="BZ429">
        <v>377</v>
      </c>
      <c r="CA429" t="s">
        <v>626</v>
      </c>
      <c r="CB429">
        <v>6023.1013196451968</v>
      </c>
      <c r="CC429" t="s">
        <v>985</v>
      </c>
    </row>
    <row r="430" spans="78:81">
      <c r="BZ430">
        <v>378</v>
      </c>
      <c r="CA430" t="s">
        <v>627</v>
      </c>
      <c r="CB430">
        <v>5986.7821998786858</v>
      </c>
      <c r="CC430" t="s">
        <v>984</v>
      </c>
    </row>
    <row r="431" spans="78:81">
      <c r="BZ431">
        <v>379</v>
      </c>
      <c r="CA431" t="s">
        <v>628</v>
      </c>
      <c r="CB431">
        <v>6098.0550750258981</v>
      </c>
      <c r="CC431" t="s">
        <v>983</v>
      </c>
    </row>
    <row r="432" spans="78:81">
      <c r="BZ432">
        <v>380</v>
      </c>
      <c r="CA432" t="s">
        <v>629</v>
      </c>
      <c r="CB432">
        <v>5968.3725550764011</v>
      </c>
      <c r="CC432" t="s">
        <v>983</v>
      </c>
    </row>
    <row r="433" spans="78:81">
      <c r="BZ433">
        <v>381</v>
      </c>
      <c r="CA433" t="s">
        <v>630</v>
      </c>
      <c r="CB433">
        <v>6710.3079473154776</v>
      </c>
      <c r="CC433" t="s">
        <v>984</v>
      </c>
    </row>
    <row r="434" spans="78:81">
      <c r="BZ434">
        <v>382</v>
      </c>
      <c r="CA434" t="s">
        <v>631</v>
      </c>
      <c r="CB434">
        <v>6053.7298263502107</v>
      </c>
      <c r="CC434" t="s">
        <v>986</v>
      </c>
    </row>
    <row r="435" spans="78:81">
      <c r="BZ435">
        <v>383</v>
      </c>
      <c r="CA435" t="s">
        <v>632</v>
      </c>
      <c r="CB435">
        <v>6580.0882896746416</v>
      </c>
      <c r="CC435" t="s">
        <v>986</v>
      </c>
    </row>
    <row r="436" spans="78:81">
      <c r="BZ436">
        <v>384</v>
      </c>
      <c r="CA436" t="s">
        <v>633</v>
      </c>
      <c r="CB436">
        <v>6322.7860641722737</v>
      </c>
      <c r="CC436" t="s">
        <v>984</v>
      </c>
    </row>
    <row r="437" spans="78:81">
      <c r="BZ437">
        <v>385</v>
      </c>
      <c r="CA437" t="s">
        <v>634</v>
      </c>
      <c r="CB437">
        <v>6381.205235901346</v>
      </c>
      <c r="CC437" t="s">
        <v>983</v>
      </c>
    </row>
    <row r="438" spans="78:81">
      <c r="BZ438">
        <v>386</v>
      </c>
      <c r="CA438" t="s">
        <v>635</v>
      </c>
      <c r="CB438">
        <v>6192.3627941445575</v>
      </c>
      <c r="CC438" t="s">
        <v>983</v>
      </c>
    </row>
    <row r="439" spans="78:81">
      <c r="BZ439">
        <v>387</v>
      </c>
      <c r="CA439" t="s">
        <v>636</v>
      </c>
      <c r="CB439">
        <v>6662.3607245108869</v>
      </c>
      <c r="CC439" t="s">
        <v>984</v>
      </c>
    </row>
    <row r="440" spans="78:81">
      <c r="BZ440">
        <v>388</v>
      </c>
      <c r="CA440" t="s">
        <v>637</v>
      </c>
      <c r="CB440">
        <v>5816.7799753011059</v>
      </c>
      <c r="CC440" t="s">
        <v>985</v>
      </c>
    </row>
    <row r="441" spans="78:81">
      <c r="BZ441">
        <v>389</v>
      </c>
      <c r="CA441" t="s">
        <v>638</v>
      </c>
      <c r="CB441">
        <v>6561.0643148189638</v>
      </c>
      <c r="CC441" t="s">
        <v>986</v>
      </c>
    </row>
    <row r="442" spans="78:81">
      <c r="BZ442">
        <v>390</v>
      </c>
      <c r="CA442" t="s">
        <v>640</v>
      </c>
      <c r="CB442">
        <v>6098.0550750258981</v>
      </c>
      <c r="CC442" t="s">
        <v>984</v>
      </c>
    </row>
    <row r="443" spans="78:81">
      <c r="BZ443">
        <v>391</v>
      </c>
      <c r="CA443" t="s">
        <v>641</v>
      </c>
      <c r="CB443">
        <v>6197.9006934357358</v>
      </c>
      <c r="CC443" t="s">
        <v>982</v>
      </c>
    </row>
    <row r="444" spans="78:81">
      <c r="BZ444">
        <v>392</v>
      </c>
      <c r="CA444" t="s">
        <v>642</v>
      </c>
      <c r="CB444">
        <v>6197.9006934357358</v>
      </c>
      <c r="CC444" t="s">
        <v>982</v>
      </c>
    </row>
    <row r="445" spans="78:81">
      <c r="BZ445">
        <v>393</v>
      </c>
      <c r="CA445" t="s">
        <v>643</v>
      </c>
      <c r="CB445">
        <v>6315.2621790503044</v>
      </c>
      <c r="CC445" t="s">
        <v>982</v>
      </c>
    </row>
    <row r="446" spans="78:81">
      <c r="BZ446">
        <v>394</v>
      </c>
      <c r="CA446" t="s">
        <v>644</v>
      </c>
      <c r="CB446">
        <v>6315.2621790503044</v>
      </c>
      <c r="CC446" t="s">
        <v>982</v>
      </c>
    </row>
    <row r="447" spans="78:81">
      <c r="BZ447">
        <v>395</v>
      </c>
      <c r="CA447" t="s">
        <v>645</v>
      </c>
      <c r="CB447">
        <v>6126.4197372935159</v>
      </c>
      <c r="CC447" t="s">
        <v>982</v>
      </c>
    </row>
    <row r="448" spans="78:81">
      <c r="BZ448">
        <v>396</v>
      </c>
      <c r="CA448" t="s">
        <v>646</v>
      </c>
      <c r="CB448">
        <v>6126.4197372935159</v>
      </c>
      <c r="CC448" t="s">
        <v>982</v>
      </c>
    </row>
    <row r="449" spans="78:81">
      <c r="BZ449">
        <v>397</v>
      </c>
      <c r="CA449" t="s">
        <v>647</v>
      </c>
      <c r="CB449">
        <v>6731.9089693848828</v>
      </c>
      <c r="CC449" t="s">
        <v>983</v>
      </c>
    </row>
    <row r="450" spans="78:81">
      <c r="BZ450">
        <v>398</v>
      </c>
      <c r="CA450" t="s">
        <v>648</v>
      </c>
      <c r="CB450">
        <v>6660.4280132426629</v>
      </c>
      <c r="CC450" t="s">
        <v>983</v>
      </c>
    </row>
    <row r="451" spans="78:81">
      <c r="BZ451">
        <v>399</v>
      </c>
      <c r="CA451" t="s">
        <v>649</v>
      </c>
      <c r="CB451">
        <v>6212.705150215068</v>
      </c>
      <c r="CC451" t="s">
        <v>984</v>
      </c>
    </row>
    <row r="452" spans="78:81">
      <c r="BZ452">
        <v>400</v>
      </c>
      <c r="CA452" t="s">
        <v>650</v>
      </c>
      <c r="CB452">
        <v>5798.3703304988212</v>
      </c>
      <c r="CC452" t="s">
        <v>985</v>
      </c>
    </row>
    <row r="453" spans="78:81">
      <c r="BZ453">
        <v>401</v>
      </c>
      <c r="CA453" t="s">
        <v>651</v>
      </c>
      <c r="CB453">
        <v>6072.2405036397922</v>
      </c>
      <c r="CC453" t="s">
        <v>985</v>
      </c>
    </row>
    <row r="454" spans="78:81">
      <c r="BZ454">
        <v>402</v>
      </c>
      <c r="CA454" t="s">
        <v>652</v>
      </c>
      <c r="CB454">
        <v>5999.1032342136141</v>
      </c>
      <c r="CC454" t="s">
        <v>984</v>
      </c>
    </row>
    <row r="455" spans="78:81">
      <c r="BZ455">
        <v>403</v>
      </c>
      <c r="CA455" t="s">
        <v>653</v>
      </c>
      <c r="CB455">
        <v>6096.1223637576741</v>
      </c>
      <c r="CC455" t="s">
        <v>983</v>
      </c>
    </row>
    <row r="456" spans="78:81">
      <c r="BZ456">
        <v>404</v>
      </c>
      <c r="CA456" t="s">
        <v>654</v>
      </c>
      <c r="CB456">
        <v>5978.7608781431054</v>
      </c>
      <c r="CC456" t="s">
        <v>983</v>
      </c>
    </row>
    <row r="457" spans="78:81">
      <c r="BZ457">
        <v>405</v>
      </c>
      <c r="CA457" t="s">
        <v>655</v>
      </c>
      <c r="CB457">
        <v>6722.6289816504059</v>
      </c>
      <c r="CC457" t="s">
        <v>984</v>
      </c>
    </row>
    <row r="458" spans="78:81">
      <c r="BZ458">
        <v>406</v>
      </c>
      <c r="CA458" t="s">
        <v>656</v>
      </c>
      <c r="CB458">
        <v>6107.700788515368</v>
      </c>
      <c r="CC458" t="s">
        <v>986</v>
      </c>
    </row>
    <row r="459" spans="78:81">
      <c r="BZ459">
        <v>407</v>
      </c>
      <c r="CA459" t="s">
        <v>657</v>
      </c>
      <c r="CB459">
        <v>6584.0503477745006</v>
      </c>
      <c r="CC459" t="s">
        <v>986</v>
      </c>
    </row>
    <row r="460" spans="78:81">
      <c r="BZ460">
        <v>408</v>
      </c>
      <c r="CA460" t="s">
        <v>658</v>
      </c>
      <c r="CB460">
        <v>6371.9252481668691</v>
      </c>
      <c r="CC460" t="s">
        <v>984</v>
      </c>
    </row>
    <row r="461" spans="78:81">
      <c r="BZ461">
        <v>409</v>
      </c>
      <c r="CA461" t="s">
        <v>659</v>
      </c>
      <c r="CB461">
        <v>5748.4780489620971</v>
      </c>
      <c r="CC461" t="s">
        <v>981</v>
      </c>
    </row>
    <row r="462" spans="78:81">
      <c r="BZ462">
        <v>410</v>
      </c>
      <c r="CA462" t="s">
        <v>660</v>
      </c>
      <c r="CB462">
        <v>5748.4780489620971</v>
      </c>
      <c r="CC462" t="s">
        <v>981</v>
      </c>
    </row>
    <row r="463" spans="78:81">
      <c r="BZ463">
        <v>411</v>
      </c>
      <c r="CA463" t="s">
        <v>661</v>
      </c>
      <c r="CB463">
        <v>5748.4780489620971</v>
      </c>
      <c r="CC463" t="s">
        <v>981</v>
      </c>
    </row>
    <row r="464" spans="78:81">
      <c r="BZ464">
        <v>412</v>
      </c>
      <c r="CA464" t="s">
        <v>662</v>
      </c>
      <c r="CB464">
        <v>5748.4780489620971</v>
      </c>
      <c r="CC464" t="s">
        <v>981</v>
      </c>
    </row>
    <row r="465" spans="78:81">
      <c r="BZ465">
        <v>413</v>
      </c>
      <c r="CA465" t="s">
        <v>663</v>
      </c>
      <c r="CB465">
        <v>5748.4780489620971</v>
      </c>
      <c r="CC465" t="s">
        <v>981</v>
      </c>
    </row>
    <row r="466" spans="78:81">
      <c r="BZ466">
        <v>414</v>
      </c>
      <c r="CA466" t="s">
        <v>664</v>
      </c>
      <c r="CB466">
        <v>5748.4780489620971</v>
      </c>
      <c r="CC466" t="s">
        <v>981</v>
      </c>
    </row>
    <row r="467" spans="78:81">
      <c r="BZ467">
        <v>415</v>
      </c>
      <c r="CA467" t="s">
        <v>665</v>
      </c>
      <c r="CB467">
        <v>5760.7990832970254</v>
      </c>
      <c r="CC467" t="s">
        <v>981</v>
      </c>
    </row>
    <row r="468" spans="78:81">
      <c r="BZ468">
        <v>416</v>
      </c>
      <c r="CA468" t="s">
        <v>666</v>
      </c>
      <c r="CB468">
        <v>5760.7990832970254</v>
      </c>
      <c r="CC468" t="s">
        <v>981</v>
      </c>
    </row>
    <row r="469" spans="78:81">
      <c r="BZ469">
        <v>417</v>
      </c>
      <c r="CA469" t="s">
        <v>667</v>
      </c>
      <c r="CB469">
        <v>5760.7990832970254</v>
      </c>
      <c r="CC469" t="s">
        <v>981</v>
      </c>
    </row>
    <row r="470" spans="78:81">
      <c r="BZ470">
        <v>418</v>
      </c>
      <c r="CA470" t="s">
        <v>668</v>
      </c>
      <c r="CB470">
        <v>5760.7990832970254</v>
      </c>
      <c r="CC470" t="s">
        <v>981</v>
      </c>
    </row>
    <row r="471" spans="78:81">
      <c r="BZ471">
        <v>419</v>
      </c>
      <c r="CA471" t="s">
        <v>669</v>
      </c>
      <c r="CB471">
        <v>5760.7990832970254</v>
      </c>
      <c r="CC471" t="s">
        <v>981</v>
      </c>
    </row>
    <row r="472" spans="78:81">
      <c r="BZ472">
        <v>420</v>
      </c>
      <c r="CA472" t="s">
        <v>670</v>
      </c>
      <c r="CB472">
        <v>5760.7990832970254</v>
      </c>
      <c r="CC472" t="s">
        <v>981</v>
      </c>
    </row>
    <row r="473" spans="78:81">
      <c r="BZ473">
        <v>421</v>
      </c>
      <c r="CA473" t="s">
        <v>671</v>
      </c>
      <c r="CB473">
        <v>5878.1605689115941</v>
      </c>
      <c r="CC473" t="s">
        <v>981</v>
      </c>
    </row>
    <row r="474" spans="78:81">
      <c r="BZ474">
        <v>422</v>
      </c>
      <c r="CA474" t="s">
        <v>672</v>
      </c>
      <c r="CB474">
        <v>5878.1605689115941</v>
      </c>
      <c r="CC474" t="s">
        <v>981</v>
      </c>
    </row>
    <row r="475" spans="78:81">
      <c r="BZ475">
        <v>423</v>
      </c>
      <c r="CA475" t="s">
        <v>673</v>
      </c>
      <c r="CB475">
        <v>5878.1605689115941</v>
      </c>
      <c r="CC475" t="s">
        <v>981</v>
      </c>
    </row>
    <row r="476" spans="78:81">
      <c r="BZ476">
        <v>424</v>
      </c>
      <c r="CA476" t="s">
        <v>674</v>
      </c>
      <c r="CB476">
        <v>5878.1605689115941</v>
      </c>
      <c r="CC476" t="s">
        <v>981</v>
      </c>
    </row>
    <row r="477" spans="78:81">
      <c r="BZ477">
        <v>425</v>
      </c>
      <c r="CA477" t="s">
        <v>675</v>
      </c>
      <c r="CB477">
        <v>5878.1605689115941</v>
      </c>
      <c r="CC477" t="s">
        <v>981</v>
      </c>
    </row>
    <row r="478" spans="78:81">
      <c r="BZ478">
        <v>426</v>
      </c>
      <c r="CA478" t="s">
        <v>676</v>
      </c>
      <c r="CB478">
        <v>5878.1605689115941</v>
      </c>
      <c r="CC478" t="s">
        <v>981</v>
      </c>
    </row>
    <row r="479" spans="78:81">
      <c r="BZ479">
        <v>427</v>
      </c>
      <c r="CA479" t="s">
        <v>677</v>
      </c>
      <c r="CB479">
        <v>5689.3181271548056</v>
      </c>
      <c r="CC479" t="s">
        <v>981</v>
      </c>
    </row>
    <row r="480" spans="78:81">
      <c r="BZ480">
        <v>428</v>
      </c>
      <c r="CA480" t="s">
        <v>678</v>
      </c>
      <c r="CB480">
        <v>5689.3181271548056</v>
      </c>
      <c r="CC480" t="s">
        <v>981</v>
      </c>
    </row>
    <row r="481" spans="78:81">
      <c r="BZ481">
        <v>429</v>
      </c>
      <c r="CA481" t="s">
        <v>679</v>
      </c>
      <c r="CB481">
        <v>5689.3181271548056</v>
      </c>
      <c r="CC481" t="s">
        <v>981</v>
      </c>
    </row>
    <row r="482" spans="78:81">
      <c r="BZ482">
        <v>430</v>
      </c>
      <c r="CA482" t="s">
        <v>680</v>
      </c>
      <c r="CB482">
        <v>5689.3181271548056</v>
      </c>
      <c r="CC482" t="s">
        <v>981</v>
      </c>
    </row>
    <row r="483" spans="78:81">
      <c r="BZ483">
        <v>431</v>
      </c>
      <c r="CA483" t="s">
        <v>681</v>
      </c>
      <c r="CB483">
        <v>5689.3181271548056</v>
      </c>
      <c r="CC483" t="s">
        <v>981</v>
      </c>
    </row>
    <row r="484" spans="78:81">
      <c r="BZ484">
        <v>432</v>
      </c>
      <c r="CA484" t="s">
        <v>682</v>
      </c>
      <c r="CB484">
        <v>5689.3181271548056</v>
      </c>
      <c r="CC484" t="s">
        <v>981</v>
      </c>
    </row>
    <row r="485" spans="78:81">
      <c r="BZ485">
        <v>433</v>
      </c>
      <c r="CA485" t="s">
        <v>683</v>
      </c>
      <c r="CB485">
        <v>6235.0469223626906</v>
      </c>
      <c r="CC485" t="s">
        <v>983</v>
      </c>
    </row>
    <row r="486" spans="78:81">
      <c r="BZ486">
        <v>434</v>
      </c>
      <c r="CA486" t="s">
        <v>684</v>
      </c>
      <c r="CB486">
        <v>6163.5659662204707</v>
      </c>
      <c r="CC486" t="s">
        <v>983</v>
      </c>
    </row>
    <row r="487" spans="78:81">
      <c r="BZ487">
        <v>435</v>
      </c>
      <c r="CA487" t="s">
        <v>685</v>
      </c>
      <c r="CB487">
        <v>6192.3627941445575</v>
      </c>
      <c r="CC487" t="s">
        <v>984</v>
      </c>
    </row>
    <row r="488" spans="78:81">
      <c r="BZ488">
        <v>436</v>
      </c>
      <c r="CA488" t="s">
        <v>686</v>
      </c>
      <c r="CB488">
        <v>5798.3703304988212</v>
      </c>
      <c r="CC488" t="s">
        <v>985</v>
      </c>
    </row>
    <row r="489" spans="78:81">
      <c r="BZ489">
        <v>437</v>
      </c>
      <c r="CA489" t="s">
        <v>687</v>
      </c>
      <c r="CB489">
        <v>6072.2405036397922</v>
      </c>
      <c r="CC489" t="s">
        <v>985</v>
      </c>
    </row>
    <row r="490" spans="78:81">
      <c r="BZ490">
        <v>438</v>
      </c>
      <c r="CA490" t="s">
        <v>688</v>
      </c>
      <c r="CB490">
        <v>5978.7608781431054</v>
      </c>
      <c r="CC490" t="s">
        <v>984</v>
      </c>
    </row>
    <row r="491" spans="78:81">
      <c r="BZ491">
        <v>439</v>
      </c>
      <c r="CA491" t="s">
        <v>689</v>
      </c>
      <c r="CB491">
        <v>6702.7840621935084</v>
      </c>
      <c r="CC491" t="s">
        <v>982</v>
      </c>
    </row>
    <row r="492" spans="78:81">
      <c r="BZ492">
        <v>440</v>
      </c>
      <c r="CA492" t="s">
        <v>690</v>
      </c>
      <c r="CB492">
        <v>6702.7840621935084</v>
      </c>
      <c r="CC492" t="s">
        <v>982</v>
      </c>
    </row>
    <row r="493" spans="78:81">
      <c r="BZ493">
        <v>441</v>
      </c>
      <c r="CA493" t="s">
        <v>691</v>
      </c>
      <c r="CB493">
        <v>6715.1050965284367</v>
      </c>
      <c r="CC493" t="s">
        <v>982</v>
      </c>
    </row>
    <row r="494" spans="78:81">
      <c r="BZ494">
        <v>442</v>
      </c>
      <c r="CA494" t="s">
        <v>692</v>
      </c>
      <c r="CB494">
        <v>6715.1050965284367</v>
      </c>
      <c r="CC494" t="s">
        <v>982</v>
      </c>
    </row>
    <row r="495" spans="78:81">
      <c r="BZ495">
        <v>443</v>
      </c>
      <c r="CA495" t="s">
        <v>693</v>
      </c>
      <c r="CB495">
        <v>6643.6241403862168</v>
      </c>
      <c r="CC495" t="s">
        <v>982</v>
      </c>
    </row>
    <row r="496" spans="78:81">
      <c r="BZ496">
        <v>444</v>
      </c>
      <c r="CA496" t="s">
        <v>694</v>
      </c>
      <c r="CB496">
        <v>6643.6241403862168</v>
      </c>
      <c r="CC496" t="s">
        <v>982</v>
      </c>
    </row>
    <row r="497" spans="78:81">
      <c r="BZ497">
        <v>445</v>
      </c>
      <c r="CA497" t="s">
        <v>695</v>
      </c>
      <c r="CB497">
        <v>6271.8650720223595</v>
      </c>
      <c r="CC497" t="s">
        <v>983</v>
      </c>
    </row>
    <row r="498" spans="78:81">
      <c r="BZ498">
        <v>446</v>
      </c>
      <c r="CA498" t="s">
        <v>696</v>
      </c>
      <c r="CB498">
        <v>6212.705150215068</v>
      </c>
      <c r="CC498" t="s">
        <v>983</v>
      </c>
    </row>
    <row r="499" spans="78:81">
      <c r="BZ499">
        <v>447</v>
      </c>
      <c r="CA499" t="s">
        <v>697</v>
      </c>
      <c r="CB499">
        <v>6145.1563214181861</v>
      </c>
      <c r="CC499" t="s">
        <v>984</v>
      </c>
    </row>
    <row r="500" spans="78:81">
      <c r="BZ500">
        <v>448</v>
      </c>
      <c r="CA500" t="s">
        <v>698</v>
      </c>
      <c r="CB500">
        <v>5796.4376192305972</v>
      </c>
      <c r="CC500" t="s">
        <v>985</v>
      </c>
    </row>
    <row r="501" spans="78:81">
      <c r="BZ501">
        <v>449</v>
      </c>
      <c r="CA501" t="s">
        <v>699</v>
      </c>
      <c r="CB501">
        <v>6023.1013196451968</v>
      </c>
      <c r="CC501" t="s">
        <v>985</v>
      </c>
    </row>
    <row r="502" spans="78:81">
      <c r="BZ502">
        <v>450</v>
      </c>
      <c r="CA502" t="s">
        <v>700</v>
      </c>
      <c r="CB502">
        <v>5968.3725550764011</v>
      </c>
      <c r="CC502" t="s">
        <v>984</v>
      </c>
    </row>
    <row r="503" spans="78:81">
      <c r="BZ503">
        <v>451</v>
      </c>
      <c r="CA503" t="s">
        <v>701</v>
      </c>
      <c r="CB503">
        <v>5999.1032342136141</v>
      </c>
      <c r="CC503" t="s">
        <v>983</v>
      </c>
    </row>
    <row r="504" spans="78:81">
      <c r="BZ504">
        <v>452</v>
      </c>
      <c r="CA504" t="s">
        <v>702</v>
      </c>
      <c r="CB504">
        <v>5986.7821998786858</v>
      </c>
      <c r="CC504" t="s">
        <v>983</v>
      </c>
    </row>
    <row r="505" spans="78:81">
      <c r="BZ505">
        <v>453</v>
      </c>
      <c r="CA505" t="s">
        <v>704</v>
      </c>
      <c r="CB505">
        <v>6242.2427282173721</v>
      </c>
      <c r="CC505" t="s">
        <v>984</v>
      </c>
    </row>
    <row r="506" spans="78:81">
      <c r="BZ506">
        <v>454</v>
      </c>
      <c r="CA506" t="s">
        <v>705</v>
      </c>
      <c r="CB506">
        <v>6034.3140186478977</v>
      </c>
      <c r="CC506" t="s">
        <v>985</v>
      </c>
    </row>
    <row r="507" spans="78:81">
      <c r="BZ507">
        <v>455</v>
      </c>
      <c r="CA507" t="s">
        <v>706</v>
      </c>
      <c r="CB507">
        <v>6081.5204913742691</v>
      </c>
      <c r="CC507" t="s">
        <v>985</v>
      </c>
    </row>
    <row r="508" spans="78:81">
      <c r="BZ508">
        <v>456</v>
      </c>
      <c r="CA508" t="s">
        <v>707</v>
      </c>
      <c r="CB508">
        <v>6205.424578557705</v>
      </c>
      <c r="CC508" t="s">
        <v>984</v>
      </c>
    </row>
    <row r="509" spans="78:81">
      <c r="BZ509">
        <v>457</v>
      </c>
      <c r="CA509" t="s">
        <v>708</v>
      </c>
      <c r="CB509">
        <v>6322.7860641722737</v>
      </c>
      <c r="CC509" t="s">
        <v>983</v>
      </c>
    </row>
    <row r="510" spans="78:81">
      <c r="BZ510">
        <v>458</v>
      </c>
      <c r="CA510" t="s">
        <v>709</v>
      </c>
      <c r="CB510">
        <v>6205.424578557705</v>
      </c>
      <c r="CC510" t="s">
        <v>983</v>
      </c>
    </row>
    <row r="511" spans="78:81">
      <c r="BZ511">
        <v>459</v>
      </c>
      <c r="CA511" t="s">
        <v>710</v>
      </c>
      <c r="CB511">
        <v>6731.9089693848828</v>
      </c>
      <c r="CC511" t="s">
        <v>984</v>
      </c>
    </row>
    <row r="512" spans="78:81">
      <c r="BZ512">
        <v>460</v>
      </c>
      <c r="CA512" t="s">
        <v>711</v>
      </c>
      <c r="CB512">
        <v>6107.700788515368</v>
      </c>
      <c r="CC512" t="s">
        <v>986</v>
      </c>
    </row>
    <row r="513" spans="78:81">
      <c r="BZ513">
        <v>461</v>
      </c>
      <c r="CA513" t="s">
        <v>712</v>
      </c>
      <c r="CB513">
        <v>6584.0503477745006</v>
      </c>
      <c r="CC513" t="s">
        <v>986</v>
      </c>
    </row>
    <row r="514" spans="78:81">
      <c r="BZ514">
        <v>462</v>
      </c>
      <c r="CA514" t="s">
        <v>713</v>
      </c>
      <c r="CB514">
        <v>6381.205235901346</v>
      </c>
      <c r="CC514" t="s">
        <v>984</v>
      </c>
    </row>
    <row r="515" spans="78:81">
      <c r="BZ515">
        <v>463</v>
      </c>
      <c r="CA515" t="s">
        <v>714</v>
      </c>
      <c r="CB515">
        <v>5949.635970951731</v>
      </c>
      <c r="CC515" t="s">
        <v>982</v>
      </c>
    </row>
    <row r="516" spans="78:81">
      <c r="BZ516">
        <v>464</v>
      </c>
      <c r="CA516" t="s">
        <v>715</v>
      </c>
      <c r="CB516">
        <v>5949.635970951731</v>
      </c>
      <c r="CC516" t="s">
        <v>982</v>
      </c>
    </row>
    <row r="517" spans="78:81">
      <c r="BZ517">
        <v>465</v>
      </c>
      <c r="CA517" t="s">
        <v>716</v>
      </c>
      <c r="CB517">
        <v>6079.318490901228</v>
      </c>
      <c r="CC517" t="s">
        <v>982</v>
      </c>
    </row>
    <row r="518" spans="78:81">
      <c r="BZ518">
        <v>466</v>
      </c>
      <c r="CA518" t="s">
        <v>717</v>
      </c>
      <c r="CB518">
        <v>6079.318490901228</v>
      </c>
      <c r="CC518" t="s">
        <v>982</v>
      </c>
    </row>
    <row r="519" spans="78:81">
      <c r="BZ519">
        <v>467</v>
      </c>
      <c r="CA519" t="s">
        <v>718</v>
      </c>
      <c r="CB519">
        <v>5961.9570052866593</v>
      </c>
      <c r="CC519" t="s">
        <v>982</v>
      </c>
    </row>
    <row r="520" spans="78:81">
      <c r="BZ520">
        <v>468</v>
      </c>
      <c r="CA520" t="s">
        <v>719</v>
      </c>
      <c r="CB520">
        <v>5961.9570052866593</v>
      </c>
      <c r="CC520" t="s">
        <v>982</v>
      </c>
    </row>
    <row r="521" spans="78:81">
      <c r="BZ521">
        <v>469</v>
      </c>
      <c r="CA521" t="s">
        <v>720</v>
      </c>
      <c r="CB521">
        <v>6710.3079473154776</v>
      </c>
      <c r="CC521" t="s">
        <v>983</v>
      </c>
    </row>
    <row r="522" spans="78:81">
      <c r="BZ522">
        <v>470</v>
      </c>
      <c r="CA522" t="s">
        <v>721</v>
      </c>
      <c r="CB522">
        <v>6722.6289816504059</v>
      </c>
      <c r="CC522" t="s">
        <v>983</v>
      </c>
    </row>
    <row r="523" spans="78:81">
      <c r="BZ523">
        <v>471</v>
      </c>
      <c r="CA523" t="s">
        <v>722</v>
      </c>
      <c r="CB523">
        <v>6235.0469223626906</v>
      </c>
      <c r="CC523" t="s">
        <v>984</v>
      </c>
    </row>
    <row r="524" spans="78:81">
      <c r="BZ524">
        <v>472</v>
      </c>
      <c r="CA524" t="s">
        <v>723</v>
      </c>
      <c r="CB524">
        <v>6081.5204913742691</v>
      </c>
      <c r="CC524" t="s">
        <v>985</v>
      </c>
    </row>
    <row r="525" spans="78:81">
      <c r="BZ525">
        <v>473</v>
      </c>
      <c r="CA525" t="s">
        <v>724</v>
      </c>
      <c r="CB525">
        <v>6034.3140186478977</v>
      </c>
      <c r="CC525" t="s">
        <v>985</v>
      </c>
    </row>
    <row r="526" spans="78:81">
      <c r="BZ526">
        <v>474</v>
      </c>
      <c r="CA526" t="s">
        <v>725</v>
      </c>
      <c r="CB526">
        <v>6271.8650720223595</v>
      </c>
      <c r="CC526" t="s">
        <v>984</v>
      </c>
    </row>
    <row r="527" spans="78:81">
      <c r="BZ527">
        <v>475</v>
      </c>
      <c r="CA527" t="s">
        <v>726</v>
      </c>
      <c r="CB527">
        <v>6371.9252481668691</v>
      </c>
      <c r="CC527" t="s">
        <v>983</v>
      </c>
    </row>
    <row r="528" spans="78:81">
      <c r="BZ528">
        <v>476</v>
      </c>
      <c r="CA528" t="s">
        <v>727</v>
      </c>
      <c r="CB528">
        <v>6242.2427282173721</v>
      </c>
      <c r="CC528" t="s">
        <v>983</v>
      </c>
    </row>
    <row r="529" spans="78:81">
      <c r="BZ529">
        <v>477</v>
      </c>
      <c r="CA529" t="s">
        <v>728</v>
      </c>
      <c r="CB529">
        <v>6721.5206463181785</v>
      </c>
      <c r="CC529" t="s">
        <v>984</v>
      </c>
    </row>
    <row r="530" spans="78:81">
      <c r="BZ530">
        <v>478</v>
      </c>
      <c r="CA530" t="s">
        <v>729</v>
      </c>
      <c r="CB530">
        <v>6053.7298263502107</v>
      </c>
      <c r="CC530" t="s">
        <v>986</v>
      </c>
    </row>
    <row r="531" spans="78:81">
      <c r="BZ531">
        <v>479</v>
      </c>
      <c r="CA531" t="s">
        <v>730</v>
      </c>
      <c r="CB531">
        <v>6580.0882896746416</v>
      </c>
      <c r="CC531" t="s">
        <v>986</v>
      </c>
    </row>
    <row r="532" spans="78:81">
      <c r="BZ532">
        <v>480</v>
      </c>
      <c r="CA532" t="s">
        <v>731</v>
      </c>
      <c r="CB532">
        <v>6333.9987631749746</v>
      </c>
      <c r="CC532" t="s">
        <v>984</v>
      </c>
    </row>
    <row r="533" spans="78:81">
      <c r="BZ533">
        <v>481</v>
      </c>
      <c r="CA533" t="s">
        <v>732</v>
      </c>
      <c r="CB533">
        <v>5715.9851427748181</v>
      </c>
      <c r="CC533" t="s">
        <v>984</v>
      </c>
    </row>
    <row r="534" spans="78:81">
      <c r="BZ534">
        <v>482</v>
      </c>
      <c r="CA534" t="s">
        <v>733</v>
      </c>
      <c r="CB534">
        <v>5779.6337463741511</v>
      </c>
      <c r="CC534" t="s">
        <v>985</v>
      </c>
    </row>
    <row r="535" spans="78:81">
      <c r="BZ535">
        <v>483</v>
      </c>
      <c r="CA535" t="s">
        <v>734</v>
      </c>
      <c r="CB535">
        <v>6097.1915537656314</v>
      </c>
      <c r="CC535" t="s">
        <v>983</v>
      </c>
    </row>
    <row r="536" spans="78:81">
      <c r="BZ536">
        <v>484</v>
      </c>
      <c r="CA536" t="s">
        <v>735</v>
      </c>
      <c r="CB536">
        <v>6145.1563214181861</v>
      </c>
      <c r="CC536" t="s">
        <v>983</v>
      </c>
    </row>
    <row r="537" spans="78:81">
      <c r="BZ537">
        <v>485</v>
      </c>
      <c r="CA537" t="s">
        <v>736</v>
      </c>
      <c r="CB537">
        <v>5859.3151543483309</v>
      </c>
      <c r="CC537" t="s">
        <v>984</v>
      </c>
    </row>
    <row r="538" spans="78:81">
      <c r="BZ538">
        <v>486</v>
      </c>
      <c r="CA538" t="s">
        <v>737</v>
      </c>
      <c r="CB538">
        <v>5595.8628522700528</v>
      </c>
      <c r="CC538" t="s">
        <v>985</v>
      </c>
    </row>
    <row r="539" spans="78:81">
      <c r="BZ539">
        <v>487</v>
      </c>
      <c r="CA539" t="s">
        <v>738</v>
      </c>
      <c r="CB539">
        <v>6126.4197372935159</v>
      </c>
      <c r="CC539" t="s">
        <v>984</v>
      </c>
    </row>
    <row r="540" spans="78:81">
      <c r="BZ540">
        <v>488</v>
      </c>
      <c r="CA540" t="s">
        <v>739</v>
      </c>
      <c r="CB540">
        <v>5796.4376192305972</v>
      </c>
      <c r="CC540" t="s">
        <v>985</v>
      </c>
    </row>
    <row r="541" spans="78:81">
      <c r="BZ541">
        <v>489</v>
      </c>
      <c r="CA541" t="s">
        <v>740</v>
      </c>
      <c r="CB541">
        <v>5777.0777758503336</v>
      </c>
      <c r="CC541" t="s">
        <v>983</v>
      </c>
    </row>
    <row r="542" spans="78:81">
      <c r="BZ542">
        <v>490</v>
      </c>
      <c r="CA542" t="s">
        <v>741</v>
      </c>
      <c r="CB542">
        <v>5717.9178540430421</v>
      </c>
      <c r="CC542" t="s">
        <v>983</v>
      </c>
    </row>
    <row r="543" spans="78:81">
      <c r="BZ543">
        <v>491</v>
      </c>
      <c r="CA543" t="s">
        <v>742</v>
      </c>
      <c r="CB543">
        <v>5949.635970951731</v>
      </c>
      <c r="CC543" t="s">
        <v>984</v>
      </c>
    </row>
    <row r="544" spans="78:81">
      <c r="BZ544">
        <v>492</v>
      </c>
      <c r="CA544" t="s">
        <v>743</v>
      </c>
      <c r="CB544">
        <v>6023.1013196451968</v>
      </c>
      <c r="CC544" t="s">
        <v>985</v>
      </c>
    </row>
    <row r="545" spans="78:81">
      <c r="BZ545">
        <v>493</v>
      </c>
      <c r="CA545" t="s">
        <v>744</v>
      </c>
      <c r="CB545">
        <v>6164.7403825625133</v>
      </c>
      <c r="CC545" t="s">
        <v>982</v>
      </c>
    </row>
    <row r="546" spans="78:81">
      <c r="BZ546">
        <v>494</v>
      </c>
      <c r="CA546" t="s">
        <v>745</v>
      </c>
      <c r="CB546">
        <v>6164.7403825625133</v>
      </c>
      <c r="CC546" t="s">
        <v>982</v>
      </c>
    </row>
    <row r="547" spans="78:81">
      <c r="BZ547">
        <v>495</v>
      </c>
      <c r="CA547" t="s">
        <v>746</v>
      </c>
      <c r="CB547">
        <v>6271.8650720223595</v>
      </c>
      <c r="CC547" t="s">
        <v>982</v>
      </c>
    </row>
    <row r="548" spans="78:81">
      <c r="BZ548">
        <v>496</v>
      </c>
      <c r="CA548" t="s">
        <v>747</v>
      </c>
      <c r="CB548">
        <v>6271.8650720223595</v>
      </c>
      <c r="CC548" t="s">
        <v>982</v>
      </c>
    </row>
    <row r="549" spans="78:81">
      <c r="BZ549">
        <v>497</v>
      </c>
      <c r="CA549" t="s">
        <v>748</v>
      </c>
      <c r="CB549">
        <v>6212.705150215068</v>
      </c>
      <c r="CC549" t="s">
        <v>982</v>
      </c>
    </row>
    <row r="550" spans="78:81">
      <c r="BZ550">
        <v>498</v>
      </c>
      <c r="CA550" t="s">
        <v>749</v>
      </c>
      <c r="CB550">
        <v>6212.705150215068</v>
      </c>
      <c r="CC550" t="s">
        <v>982</v>
      </c>
    </row>
    <row r="551" spans="78:81">
      <c r="BZ551">
        <v>499</v>
      </c>
      <c r="CA551" t="s">
        <v>750</v>
      </c>
      <c r="CB551">
        <v>5765.8650768476327</v>
      </c>
      <c r="CC551" t="s">
        <v>984</v>
      </c>
    </row>
    <row r="552" spans="78:81">
      <c r="BZ552">
        <v>500</v>
      </c>
      <c r="CA552" t="s">
        <v>751</v>
      </c>
      <c r="CB552">
        <v>6015.5774345232276</v>
      </c>
      <c r="CC552" t="s">
        <v>985</v>
      </c>
    </row>
    <row r="553" spans="78:81">
      <c r="BZ553">
        <v>501</v>
      </c>
      <c r="CA553" t="s">
        <v>752</v>
      </c>
      <c r="CB553">
        <v>5861.2478656165549</v>
      </c>
      <c r="CC553" t="s">
        <v>983</v>
      </c>
    </row>
    <row r="554" spans="78:81">
      <c r="BZ554">
        <v>502</v>
      </c>
      <c r="CA554" t="s">
        <v>753</v>
      </c>
      <c r="CB554">
        <v>5968.3725550764011</v>
      </c>
      <c r="CC554" t="s">
        <v>983</v>
      </c>
    </row>
    <row r="555" spans="78:81">
      <c r="BZ555">
        <v>503</v>
      </c>
      <c r="CA555" t="s">
        <v>754</v>
      </c>
      <c r="CB555">
        <v>6085.9788547629305</v>
      </c>
      <c r="CC555" t="s">
        <v>984</v>
      </c>
    </row>
    <row r="556" spans="78:81">
      <c r="BZ556">
        <v>504</v>
      </c>
      <c r="CA556" t="s">
        <v>755</v>
      </c>
      <c r="CB556">
        <v>5605.1428400045297</v>
      </c>
      <c r="CC556" t="s">
        <v>985</v>
      </c>
    </row>
    <row r="557" spans="78:81">
      <c r="BZ557">
        <v>505</v>
      </c>
      <c r="CA557" t="s">
        <v>756</v>
      </c>
      <c r="CB557">
        <v>5717.9178540430421</v>
      </c>
      <c r="CC557" t="s">
        <v>984</v>
      </c>
    </row>
    <row r="558" spans="78:81">
      <c r="BZ558">
        <v>506</v>
      </c>
      <c r="CA558" t="s">
        <v>757</v>
      </c>
      <c r="CB558">
        <v>5779.6337463741511</v>
      </c>
      <c r="CC558" t="s">
        <v>985</v>
      </c>
    </row>
    <row r="559" spans="78:81">
      <c r="BZ559">
        <v>507</v>
      </c>
      <c r="CA559" t="s">
        <v>758</v>
      </c>
      <c r="CB559">
        <v>6144.3980264920028</v>
      </c>
      <c r="CC559" t="s">
        <v>983</v>
      </c>
    </row>
    <row r="560" spans="78:81">
      <c r="BZ560">
        <v>508</v>
      </c>
      <c r="CA560" t="s">
        <v>759</v>
      </c>
      <c r="CB560">
        <v>6192.3627941445575</v>
      </c>
      <c r="CC560" t="s">
        <v>983</v>
      </c>
    </row>
    <row r="561" spans="78:81">
      <c r="BZ561">
        <v>509</v>
      </c>
      <c r="CA561" t="s">
        <v>760</v>
      </c>
      <c r="CB561">
        <v>5861.2478656165549</v>
      </c>
      <c r="CC561" t="s">
        <v>984</v>
      </c>
    </row>
    <row r="562" spans="78:81">
      <c r="BZ562">
        <v>510</v>
      </c>
      <c r="CA562" t="s">
        <v>761</v>
      </c>
      <c r="CB562">
        <v>5595.8628522700528</v>
      </c>
      <c r="CC562" t="s">
        <v>985</v>
      </c>
    </row>
    <row r="563" spans="78:81">
      <c r="BZ563">
        <v>511</v>
      </c>
      <c r="CA563" t="s">
        <v>762</v>
      </c>
      <c r="CB563">
        <v>6175.5589212881114</v>
      </c>
      <c r="CC563" t="s">
        <v>984</v>
      </c>
    </row>
    <row r="564" spans="78:81">
      <c r="BZ564">
        <v>512</v>
      </c>
      <c r="CA564" t="s">
        <v>763</v>
      </c>
      <c r="CB564">
        <v>5798.3703304988212</v>
      </c>
      <c r="CC564" t="s">
        <v>985</v>
      </c>
    </row>
    <row r="565" spans="78:81">
      <c r="BZ565">
        <v>513</v>
      </c>
      <c r="CA565" t="s">
        <v>764</v>
      </c>
      <c r="CB565">
        <v>5787.4660989170379</v>
      </c>
      <c r="CC565" t="s">
        <v>983</v>
      </c>
    </row>
    <row r="566" spans="78:81">
      <c r="BZ566">
        <v>514</v>
      </c>
      <c r="CA566" t="s">
        <v>765</v>
      </c>
      <c r="CB566">
        <v>5715.9851427748181</v>
      </c>
      <c r="CC566" t="s">
        <v>983</v>
      </c>
    </row>
    <row r="567" spans="78:81">
      <c r="BZ567">
        <v>515</v>
      </c>
      <c r="CA567" t="s">
        <v>766</v>
      </c>
      <c r="CB567">
        <v>5961.9570052866593</v>
      </c>
      <c r="CC567" t="s">
        <v>984</v>
      </c>
    </row>
    <row r="568" spans="78:81">
      <c r="BZ568">
        <v>516</v>
      </c>
      <c r="CA568" t="s">
        <v>767</v>
      </c>
      <c r="CB568">
        <v>6072.2405036397922</v>
      </c>
      <c r="CC568" t="s">
        <v>985</v>
      </c>
    </row>
    <row r="569" spans="78:81">
      <c r="BZ569">
        <v>517</v>
      </c>
      <c r="CA569" t="s">
        <v>768</v>
      </c>
      <c r="CB569">
        <v>6115.6011985679161</v>
      </c>
      <c r="CC569" t="s">
        <v>982</v>
      </c>
    </row>
    <row r="570" spans="78:81">
      <c r="BZ570">
        <v>518</v>
      </c>
      <c r="CA570" t="s">
        <v>769</v>
      </c>
      <c r="CB570">
        <v>6115.6011985679161</v>
      </c>
      <c r="CC570" t="s">
        <v>982</v>
      </c>
    </row>
    <row r="571" spans="78:81">
      <c r="BZ571">
        <v>519</v>
      </c>
      <c r="CA571" t="s">
        <v>770</v>
      </c>
      <c r="CB571">
        <v>6235.0469223626906</v>
      </c>
      <c r="CC571" t="s">
        <v>982</v>
      </c>
    </row>
    <row r="572" spans="78:81">
      <c r="BZ572">
        <v>520</v>
      </c>
      <c r="CA572" t="s">
        <v>771</v>
      </c>
      <c r="CB572">
        <v>6235.0469223626906</v>
      </c>
      <c r="CC572" t="s">
        <v>982</v>
      </c>
    </row>
    <row r="573" spans="78:81">
      <c r="BZ573">
        <v>521</v>
      </c>
      <c r="CA573" t="s">
        <v>772</v>
      </c>
      <c r="CB573">
        <v>6163.5659662204707</v>
      </c>
      <c r="CC573" t="s">
        <v>982</v>
      </c>
    </row>
    <row r="574" spans="78:81">
      <c r="BZ574">
        <v>522</v>
      </c>
      <c r="CA574" t="s">
        <v>773</v>
      </c>
      <c r="CB574">
        <v>6163.5659662204707</v>
      </c>
      <c r="CC574" t="s">
        <v>982</v>
      </c>
    </row>
    <row r="575" spans="78:81">
      <c r="BZ575">
        <v>523</v>
      </c>
      <c r="CA575" t="s">
        <v>774</v>
      </c>
      <c r="CB575">
        <v>5778.186111182561</v>
      </c>
      <c r="CC575" t="s">
        <v>984</v>
      </c>
    </row>
    <row r="576" spans="78:81">
      <c r="BZ576">
        <v>524</v>
      </c>
      <c r="CA576" t="s">
        <v>775</v>
      </c>
      <c r="CB576">
        <v>6064.716618517823</v>
      </c>
      <c r="CC576" t="s">
        <v>985</v>
      </c>
    </row>
    <row r="577" spans="78:81">
      <c r="BZ577">
        <v>525</v>
      </c>
      <c r="CA577" t="s">
        <v>776</v>
      </c>
      <c r="CB577">
        <v>5859.3151543483309</v>
      </c>
      <c r="CC577" t="s">
        <v>983</v>
      </c>
    </row>
    <row r="578" spans="78:81">
      <c r="BZ578">
        <v>526</v>
      </c>
      <c r="CA578" t="s">
        <v>777</v>
      </c>
      <c r="CB578">
        <v>5978.7608781431054</v>
      </c>
      <c r="CC578" t="s">
        <v>983</v>
      </c>
    </row>
    <row r="579" spans="78:81">
      <c r="BZ579">
        <v>527</v>
      </c>
      <c r="CA579" t="s">
        <v>778</v>
      </c>
      <c r="CB579">
        <v>6135.1180387575259</v>
      </c>
      <c r="CC579" t="s">
        <v>984</v>
      </c>
    </row>
    <row r="580" spans="78:81">
      <c r="BZ580">
        <v>528</v>
      </c>
      <c r="CA580" t="s">
        <v>779</v>
      </c>
      <c r="CB580">
        <v>5607.0755512727537</v>
      </c>
      <c r="CC580" t="s">
        <v>985</v>
      </c>
    </row>
    <row r="581" spans="78:81">
      <c r="BZ581">
        <v>529</v>
      </c>
      <c r="CA581" t="s">
        <v>780</v>
      </c>
      <c r="CB581">
        <v>6192.3627941445575</v>
      </c>
      <c r="CC581" t="s">
        <v>984</v>
      </c>
    </row>
    <row r="582" spans="78:81">
      <c r="BZ582">
        <v>530</v>
      </c>
      <c r="CA582" t="s">
        <v>781</v>
      </c>
      <c r="CB582">
        <v>5798.3703304988212</v>
      </c>
      <c r="CC582" t="s">
        <v>985</v>
      </c>
    </row>
    <row r="583" spans="78:81">
      <c r="BZ583">
        <v>531</v>
      </c>
      <c r="CA583" t="s">
        <v>782</v>
      </c>
      <c r="CB583">
        <v>6197.9006934357358</v>
      </c>
      <c r="CC583" t="s">
        <v>983</v>
      </c>
    </row>
    <row r="584" spans="78:81">
      <c r="BZ584">
        <v>532</v>
      </c>
      <c r="CA584" t="s">
        <v>783</v>
      </c>
      <c r="CB584">
        <v>6126.4197372935159</v>
      </c>
      <c r="CC584" t="s">
        <v>983</v>
      </c>
    </row>
    <row r="585" spans="78:81">
      <c r="BZ585">
        <v>533</v>
      </c>
      <c r="CA585" t="s">
        <v>784</v>
      </c>
      <c r="CB585">
        <v>5978.7608781431054</v>
      </c>
      <c r="CC585" t="s">
        <v>984</v>
      </c>
    </row>
    <row r="586" spans="78:81">
      <c r="BZ586">
        <v>534</v>
      </c>
      <c r="CA586" t="s">
        <v>785</v>
      </c>
      <c r="CB586">
        <v>6072.2405036397922</v>
      </c>
      <c r="CC586" t="s">
        <v>985</v>
      </c>
    </row>
    <row r="587" spans="78:81">
      <c r="BZ587">
        <v>535</v>
      </c>
      <c r="CA587" t="s">
        <v>786</v>
      </c>
      <c r="CB587">
        <v>6145.1563214181861</v>
      </c>
      <c r="CC587" t="s">
        <v>984</v>
      </c>
    </row>
    <row r="588" spans="78:81">
      <c r="BZ588">
        <v>536</v>
      </c>
      <c r="CA588" t="s">
        <v>787</v>
      </c>
      <c r="CB588">
        <v>5796.4376192305972</v>
      </c>
      <c r="CC588" t="s">
        <v>985</v>
      </c>
    </row>
    <row r="589" spans="78:81">
      <c r="BZ589">
        <v>537</v>
      </c>
      <c r="CA589" t="s">
        <v>788</v>
      </c>
      <c r="CB589">
        <v>6234.7188430954029</v>
      </c>
      <c r="CC589" t="s">
        <v>983</v>
      </c>
    </row>
    <row r="590" spans="78:81">
      <c r="BZ590">
        <v>538</v>
      </c>
      <c r="CA590" t="s">
        <v>789</v>
      </c>
      <c r="CB590">
        <v>6175.5589212881114</v>
      </c>
      <c r="CC590" t="s">
        <v>983</v>
      </c>
    </row>
    <row r="591" spans="78:81">
      <c r="BZ591">
        <v>539</v>
      </c>
      <c r="CA591" t="s">
        <v>790</v>
      </c>
      <c r="CB591">
        <v>5968.3725550764011</v>
      </c>
      <c r="CC591" t="s">
        <v>984</v>
      </c>
    </row>
    <row r="592" spans="78:81">
      <c r="BZ592">
        <v>540</v>
      </c>
      <c r="CA592" t="s">
        <v>791</v>
      </c>
      <c r="CB592">
        <v>6023.1013196451968</v>
      </c>
      <c r="CC592" t="s">
        <v>985</v>
      </c>
    </row>
    <row r="593" spans="78:81">
      <c r="BZ593">
        <v>541</v>
      </c>
      <c r="CA593" t="s">
        <v>792</v>
      </c>
      <c r="CB593">
        <v>5807.8084549875466</v>
      </c>
      <c r="CC593" t="s">
        <v>982</v>
      </c>
    </row>
    <row r="594" spans="78:81">
      <c r="BZ594">
        <v>542</v>
      </c>
      <c r="CA594" t="s">
        <v>793</v>
      </c>
      <c r="CB594">
        <v>5807.8084549875466</v>
      </c>
      <c r="CC594" t="s">
        <v>982</v>
      </c>
    </row>
    <row r="595" spans="78:81">
      <c r="BZ595">
        <v>543</v>
      </c>
      <c r="CA595" t="s">
        <v>794</v>
      </c>
      <c r="CB595">
        <v>5795.4874206526183</v>
      </c>
      <c r="CC595" t="s">
        <v>982</v>
      </c>
    </row>
    <row r="596" spans="78:81">
      <c r="BZ596">
        <v>544</v>
      </c>
      <c r="CA596" t="s">
        <v>795</v>
      </c>
      <c r="CB596">
        <v>5795.4874206526183</v>
      </c>
      <c r="CC596" t="s">
        <v>982</v>
      </c>
    </row>
    <row r="597" spans="78:81">
      <c r="BZ597">
        <v>545</v>
      </c>
      <c r="CA597" t="s">
        <v>796</v>
      </c>
      <c r="CB597">
        <v>5736.3274988453268</v>
      </c>
      <c r="CC597" t="s">
        <v>982</v>
      </c>
    </row>
    <row r="598" spans="78:81">
      <c r="BZ598">
        <v>546</v>
      </c>
      <c r="CA598" t="s">
        <v>797</v>
      </c>
      <c r="CB598">
        <v>5736.3274988453268</v>
      </c>
      <c r="CC598" t="s">
        <v>982</v>
      </c>
    </row>
    <row r="599" spans="78:81">
      <c r="BZ599">
        <v>547</v>
      </c>
      <c r="CA599" t="s">
        <v>798</v>
      </c>
      <c r="CB599">
        <v>6242.2427282173721</v>
      </c>
      <c r="CC599" t="s">
        <v>984</v>
      </c>
    </row>
    <row r="600" spans="78:81">
      <c r="BZ600">
        <v>548</v>
      </c>
      <c r="CA600" t="s">
        <v>799</v>
      </c>
      <c r="CB600">
        <v>6034.3140186478977</v>
      </c>
      <c r="CC600" t="s">
        <v>985</v>
      </c>
    </row>
    <row r="601" spans="78:81">
      <c r="BZ601">
        <v>549</v>
      </c>
      <c r="CA601" t="s">
        <v>800</v>
      </c>
      <c r="CB601">
        <v>5961.9570052866593</v>
      </c>
      <c r="CC601" t="s">
        <v>983</v>
      </c>
    </row>
    <row r="602" spans="78:81">
      <c r="BZ602">
        <v>550</v>
      </c>
      <c r="CA602" t="s">
        <v>801</v>
      </c>
      <c r="CB602">
        <v>5949.635970951731</v>
      </c>
      <c r="CC602" t="s">
        <v>983</v>
      </c>
    </row>
    <row r="603" spans="78:81">
      <c r="BZ603">
        <v>551</v>
      </c>
      <c r="CA603" t="s">
        <v>802</v>
      </c>
      <c r="CB603">
        <v>6205.424578557705</v>
      </c>
      <c r="CC603" t="s">
        <v>984</v>
      </c>
    </row>
    <row r="604" spans="78:81">
      <c r="BZ604">
        <v>552</v>
      </c>
      <c r="CA604" t="s">
        <v>803</v>
      </c>
      <c r="CB604">
        <v>6081.5204913742691</v>
      </c>
      <c r="CC604" t="s">
        <v>985</v>
      </c>
    </row>
    <row r="605" spans="78:81">
      <c r="BZ605">
        <v>553</v>
      </c>
      <c r="CA605" t="s">
        <v>804</v>
      </c>
      <c r="CB605">
        <v>6692.9209194299419</v>
      </c>
      <c r="CC605" t="s">
        <v>981</v>
      </c>
    </row>
    <row r="606" spans="78:81">
      <c r="BZ606">
        <v>554</v>
      </c>
      <c r="CA606" t="s">
        <v>805</v>
      </c>
      <c r="CB606">
        <v>6692.9209194299419</v>
      </c>
      <c r="CC606" t="s">
        <v>981</v>
      </c>
    </row>
    <row r="607" spans="78:81">
      <c r="BZ607">
        <v>555</v>
      </c>
      <c r="CA607" t="s">
        <v>806</v>
      </c>
      <c r="CB607">
        <v>6692.9209194299419</v>
      </c>
      <c r="CC607" t="s">
        <v>981</v>
      </c>
    </row>
    <row r="608" spans="78:81">
      <c r="BZ608">
        <v>556</v>
      </c>
      <c r="CA608" t="s">
        <v>807</v>
      </c>
      <c r="CB608">
        <v>6692.9209194299419</v>
      </c>
      <c r="CC608" t="s">
        <v>981</v>
      </c>
    </row>
    <row r="609" spans="78:81">
      <c r="BZ609">
        <v>557</v>
      </c>
      <c r="CA609" t="s">
        <v>808</v>
      </c>
      <c r="CB609">
        <v>6692.9209194299419</v>
      </c>
      <c r="CC609" t="s">
        <v>981</v>
      </c>
    </row>
    <row r="610" spans="78:81">
      <c r="BZ610">
        <v>558</v>
      </c>
      <c r="CA610" t="s">
        <v>809</v>
      </c>
      <c r="CB610">
        <v>6692.9209194299419</v>
      </c>
      <c r="CC610" t="s">
        <v>981</v>
      </c>
    </row>
    <row r="611" spans="78:81">
      <c r="BZ611">
        <v>559</v>
      </c>
      <c r="CA611" t="s">
        <v>810</v>
      </c>
      <c r="CB611">
        <v>6585.7962299700957</v>
      </c>
      <c r="CC611" t="s">
        <v>981</v>
      </c>
    </row>
    <row r="612" spans="78:81">
      <c r="BZ612">
        <v>560</v>
      </c>
      <c r="CA612" t="s">
        <v>811</v>
      </c>
      <c r="CB612">
        <v>6585.7962299700957</v>
      </c>
      <c r="CC612" t="s">
        <v>981</v>
      </c>
    </row>
    <row r="613" spans="78:81">
      <c r="BZ613">
        <v>561</v>
      </c>
      <c r="CA613" t="s">
        <v>812</v>
      </c>
      <c r="CB613">
        <v>6585.7962299700957</v>
      </c>
      <c r="CC613" t="s">
        <v>981</v>
      </c>
    </row>
    <row r="614" spans="78:81">
      <c r="BZ614">
        <v>562</v>
      </c>
      <c r="CA614" t="s">
        <v>813</v>
      </c>
      <c r="CB614">
        <v>6585.7962299700957</v>
      </c>
      <c r="CC614" t="s">
        <v>981</v>
      </c>
    </row>
    <row r="615" spans="78:81">
      <c r="BZ615">
        <v>563</v>
      </c>
      <c r="CA615" t="s">
        <v>814</v>
      </c>
      <c r="CB615">
        <v>6585.7962299700957</v>
      </c>
      <c r="CC615" t="s">
        <v>981</v>
      </c>
    </row>
    <row r="616" spans="78:81">
      <c r="BZ616">
        <v>564</v>
      </c>
      <c r="CA616" t="s">
        <v>815</v>
      </c>
      <c r="CB616">
        <v>6585.7962299700957</v>
      </c>
      <c r="CC616" t="s">
        <v>981</v>
      </c>
    </row>
    <row r="617" spans="78:81">
      <c r="BZ617">
        <v>565</v>
      </c>
      <c r="CA617" t="s">
        <v>816</v>
      </c>
      <c r="CB617">
        <v>6705.2419537648702</v>
      </c>
      <c r="CC617" t="s">
        <v>981</v>
      </c>
    </row>
    <row r="618" spans="78:81">
      <c r="BZ618">
        <v>566</v>
      </c>
      <c r="CA618" t="s">
        <v>817</v>
      </c>
      <c r="CB618">
        <v>6705.2419537648702</v>
      </c>
      <c r="CC618" t="s">
        <v>981</v>
      </c>
    </row>
    <row r="619" spans="78:81">
      <c r="BZ619">
        <v>567</v>
      </c>
      <c r="CA619" t="s">
        <v>818</v>
      </c>
      <c r="CB619">
        <v>6705.2419537648702</v>
      </c>
      <c r="CC619" t="s">
        <v>981</v>
      </c>
    </row>
    <row r="620" spans="78:81">
      <c r="BZ620">
        <v>568</v>
      </c>
      <c r="CA620" t="s">
        <v>819</v>
      </c>
      <c r="CB620">
        <v>6705.2419537648702</v>
      </c>
      <c r="CC620" t="s">
        <v>981</v>
      </c>
    </row>
    <row r="621" spans="78:81">
      <c r="BZ621">
        <v>569</v>
      </c>
      <c r="CA621" t="s">
        <v>820</v>
      </c>
      <c r="CB621">
        <v>6705.2419537648702</v>
      </c>
      <c r="CC621" t="s">
        <v>981</v>
      </c>
    </row>
    <row r="622" spans="78:81">
      <c r="BZ622">
        <v>570</v>
      </c>
      <c r="CA622" t="s">
        <v>821</v>
      </c>
      <c r="CB622">
        <v>6705.2419537648702</v>
      </c>
      <c r="CC622" t="s">
        <v>981</v>
      </c>
    </row>
    <row r="623" spans="78:81">
      <c r="BZ623">
        <v>571</v>
      </c>
      <c r="CA623" t="s">
        <v>822</v>
      </c>
      <c r="CB623">
        <v>6633.7609976226504</v>
      </c>
      <c r="CC623" t="s">
        <v>981</v>
      </c>
    </row>
    <row r="624" spans="78:81">
      <c r="BZ624">
        <v>572</v>
      </c>
      <c r="CA624" t="s">
        <v>823</v>
      </c>
      <c r="CB624">
        <v>6633.7609976226504</v>
      </c>
      <c r="CC624" t="s">
        <v>981</v>
      </c>
    </row>
    <row r="625" spans="78:81">
      <c r="BZ625">
        <v>573</v>
      </c>
      <c r="CA625" t="s">
        <v>824</v>
      </c>
      <c r="CB625">
        <v>6633.7609976226504</v>
      </c>
      <c r="CC625" t="s">
        <v>981</v>
      </c>
    </row>
    <row r="626" spans="78:81">
      <c r="BZ626">
        <v>574</v>
      </c>
      <c r="CA626" t="s">
        <v>825</v>
      </c>
      <c r="CB626">
        <v>6633.7609976226504</v>
      </c>
      <c r="CC626" t="s">
        <v>981</v>
      </c>
    </row>
    <row r="627" spans="78:81">
      <c r="BZ627">
        <v>575</v>
      </c>
      <c r="CA627" t="s">
        <v>826</v>
      </c>
      <c r="CB627">
        <v>6633.7609976226504</v>
      </c>
      <c r="CC627" t="s">
        <v>981</v>
      </c>
    </row>
    <row r="628" spans="78:81">
      <c r="BZ628">
        <v>576</v>
      </c>
      <c r="CA628" t="s">
        <v>827</v>
      </c>
      <c r="CB628">
        <v>6633.7609976226504</v>
      </c>
      <c r="CC628" t="s">
        <v>981</v>
      </c>
    </row>
    <row r="629" spans="78:81">
      <c r="BZ629">
        <v>577</v>
      </c>
      <c r="CA629" t="s">
        <v>828</v>
      </c>
      <c r="CB629">
        <v>5787.4660989170379</v>
      </c>
      <c r="CC629" t="s">
        <v>984</v>
      </c>
    </row>
    <row r="630" spans="78:81">
      <c r="BZ630">
        <v>578</v>
      </c>
      <c r="CA630" t="s">
        <v>829</v>
      </c>
      <c r="CB630">
        <v>6064.716618517823</v>
      </c>
      <c r="CC630" t="s">
        <v>985</v>
      </c>
    </row>
    <row r="631" spans="78:81">
      <c r="BZ631">
        <v>579</v>
      </c>
      <c r="CA631" t="s">
        <v>830</v>
      </c>
      <c r="CB631">
        <v>6085.9788547629305</v>
      </c>
      <c r="CC631" t="s">
        <v>983</v>
      </c>
    </row>
    <row r="632" spans="78:81">
      <c r="BZ632">
        <v>580</v>
      </c>
      <c r="CA632" t="s">
        <v>831</v>
      </c>
      <c r="CB632">
        <v>6205.424578557705</v>
      </c>
      <c r="CC632" t="s">
        <v>983</v>
      </c>
    </row>
    <row r="633" spans="78:81">
      <c r="BZ633">
        <v>581</v>
      </c>
      <c r="CA633" t="s">
        <v>832</v>
      </c>
      <c r="CB633">
        <v>6144.3980264920028</v>
      </c>
      <c r="CC633" t="s">
        <v>984</v>
      </c>
    </row>
    <row r="634" spans="78:81">
      <c r="BZ634">
        <v>582</v>
      </c>
      <c r="CA634" t="s">
        <v>833</v>
      </c>
      <c r="CB634">
        <v>5607.0755512727537</v>
      </c>
      <c r="CC634" t="s">
        <v>985</v>
      </c>
    </row>
    <row r="635" spans="78:81">
      <c r="BZ635">
        <v>583</v>
      </c>
      <c r="CA635" t="s">
        <v>834</v>
      </c>
      <c r="CB635">
        <v>6197.9006934357358</v>
      </c>
      <c r="CC635" t="s">
        <v>984</v>
      </c>
    </row>
    <row r="636" spans="78:81">
      <c r="BZ636">
        <v>584</v>
      </c>
      <c r="CA636" t="s">
        <v>835</v>
      </c>
      <c r="CB636">
        <v>6081.5204913742691</v>
      </c>
      <c r="CC636" t="s">
        <v>985</v>
      </c>
    </row>
    <row r="637" spans="78:81">
      <c r="BZ637">
        <v>585</v>
      </c>
      <c r="CA637" t="s">
        <v>836</v>
      </c>
      <c r="CB637">
        <v>5765.8650768476327</v>
      </c>
      <c r="CC637" t="s">
        <v>983</v>
      </c>
    </row>
    <row r="638" spans="78:81">
      <c r="BZ638">
        <v>586</v>
      </c>
      <c r="CA638" t="s">
        <v>837</v>
      </c>
      <c r="CB638">
        <v>5778.186111182561</v>
      </c>
      <c r="CC638" t="s">
        <v>983</v>
      </c>
    </row>
    <row r="639" spans="78:81">
      <c r="BZ639">
        <v>587</v>
      </c>
      <c r="CA639" t="s">
        <v>838</v>
      </c>
      <c r="CB639">
        <v>6234.7188430954029</v>
      </c>
      <c r="CC639" t="s">
        <v>984</v>
      </c>
    </row>
    <row r="640" spans="78:81">
      <c r="BZ640">
        <v>588</v>
      </c>
      <c r="CA640" t="s">
        <v>839</v>
      </c>
      <c r="CB640">
        <v>6034.3140186478977</v>
      </c>
      <c r="CC640" t="s">
        <v>985</v>
      </c>
    </row>
    <row r="641" spans="78:81">
      <c r="BZ641">
        <v>589</v>
      </c>
      <c r="CA641" t="s">
        <v>840</v>
      </c>
      <c r="CB641">
        <v>5879.6575104188396</v>
      </c>
      <c r="CC641" t="s">
        <v>982</v>
      </c>
    </row>
    <row r="642" spans="78:81">
      <c r="BZ642">
        <v>590</v>
      </c>
      <c r="CA642" t="s">
        <v>841</v>
      </c>
      <c r="CB642">
        <v>5879.6575104188396</v>
      </c>
      <c r="CC642" t="s">
        <v>982</v>
      </c>
    </row>
    <row r="643" spans="78:81">
      <c r="BZ643">
        <v>591</v>
      </c>
      <c r="CA643" t="s">
        <v>842</v>
      </c>
      <c r="CB643">
        <v>5986.7821998786858</v>
      </c>
      <c r="CC643" t="s">
        <v>982</v>
      </c>
    </row>
    <row r="644" spans="78:81">
      <c r="BZ644">
        <v>592</v>
      </c>
      <c r="CA644" t="s">
        <v>843</v>
      </c>
      <c r="CB644">
        <v>5986.7821998786858</v>
      </c>
      <c r="CC644" t="s">
        <v>982</v>
      </c>
    </row>
    <row r="645" spans="78:81">
      <c r="BZ645">
        <v>593</v>
      </c>
      <c r="CA645" t="s">
        <v>844</v>
      </c>
      <c r="CB645">
        <v>5999.1032342136141</v>
      </c>
      <c r="CC645" t="s">
        <v>982</v>
      </c>
    </row>
    <row r="646" spans="78:81">
      <c r="BZ646">
        <v>594</v>
      </c>
      <c r="CA646" t="s">
        <v>845</v>
      </c>
      <c r="CB646">
        <v>5999.1032342136141</v>
      </c>
      <c r="CC646" t="s">
        <v>982</v>
      </c>
    </row>
    <row r="647" spans="78:81">
      <c r="BZ647">
        <v>595</v>
      </c>
      <c r="CA647" t="s">
        <v>846</v>
      </c>
      <c r="CB647">
        <v>5777.0777758503336</v>
      </c>
      <c r="CC647" t="s">
        <v>984</v>
      </c>
    </row>
    <row r="648" spans="78:81">
      <c r="BZ648">
        <v>596</v>
      </c>
      <c r="CA648" t="s">
        <v>847</v>
      </c>
      <c r="CB648">
        <v>6015.5774345232276</v>
      </c>
      <c r="CC648" t="s">
        <v>985</v>
      </c>
    </row>
    <row r="649" spans="78:81">
      <c r="BZ649">
        <v>597</v>
      </c>
      <c r="CA649" t="s">
        <v>848</v>
      </c>
      <c r="CB649">
        <v>6135.1180387575259</v>
      </c>
      <c r="CC649" t="s">
        <v>983</v>
      </c>
    </row>
    <row r="650" spans="78:81">
      <c r="BZ650">
        <v>598</v>
      </c>
      <c r="CA650" t="s">
        <v>849</v>
      </c>
      <c r="CB650">
        <v>6242.2427282173721</v>
      </c>
      <c r="CC650" t="s">
        <v>983</v>
      </c>
    </row>
    <row r="651" spans="78:81">
      <c r="BZ651">
        <v>599</v>
      </c>
      <c r="CA651" t="s">
        <v>850</v>
      </c>
      <c r="CB651">
        <v>6097.1915537656314</v>
      </c>
      <c r="CC651" t="s">
        <v>984</v>
      </c>
    </row>
    <row r="652" spans="78:81">
      <c r="BZ652">
        <v>600</v>
      </c>
      <c r="CA652" t="s">
        <v>851</v>
      </c>
      <c r="CB652">
        <v>5605.1428400045297</v>
      </c>
      <c r="CC652" t="s">
        <v>985</v>
      </c>
    </row>
    <row r="653" spans="78:81">
      <c r="BZ653">
        <v>601</v>
      </c>
      <c r="CA653" t="s">
        <v>852</v>
      </c>
      <c r="CB653">
        <v>6545.6403503189267</v>
      </c>
      <c r="CC653" t="s">
        <v>986</v>
      </c>
    </row>
    <row r="654" spans="78:81">
      <c r="BZ654">
        <v>602</v>
      </c>
      <c r="CA654" t="s">
        <v>853</v>
      </c>
      <c r="CB654">
        <v>5904.8275845316066</v>
      </c>
      <c r="CC654" t="s">
        <v>984</v>
      </c>
    </row>
    <row r="655" spans="78:81">
      <c r="BZ655">
        <v>603</v>
      </c>
      <c r="CA655" t="s">
        <v>854</v>
      </c>
      <c r="CB655">
        <v>5625.4851960750384</v>
      </c>
      <c r="CC655" t="s">
        <v>985</v>
      </c>
    </row>
    <row r="656" spans="78:81">
      <c r="BZ656">
        <v>604</v>
      </c>
      <c r="CA656" t="s">
        <v>855</v>
      </c>
      <c r="CB656">
        <v>6621.5134892816195</v>
      </c>
      <c r="CC656" t="s">
        <v>703</v>
      </c>
    </row>
    <row r="657" spans="78:81">
      <c r="BZ657">
        <v>605</v>
      </c>
      <c r="CA657" t="s">
        <v>856</v>
      </c>
      <c r="CB657">
        <v>6333.9987631749746</v>
      </c>
      <c r="CC657" t="s">
        <v>983</v>
      </c>
    </row>
    <row r="658" spans="78:81">
      <c r="BZ658">
        <v>606</v>
      </c>
      <c r="CA658" t="s">
        <v>857</v>
      </c>
      <c r="CB658">
        <v>6097.1915537656314</v>
      </c>
      <c r="CC658" t="s">
        <v>983</v>
      </c>
    </row>
    <row r="659" spans="78:81">
      <c r="BZ659">
        <v>607</v>
      </c>
      <c r="CA659" t="s">
        <v>858</v>
      </c>
      <c r="CB659">
        <v>6580.0882896746416</v>
      </c>
      <c r="CC659" t="s">
        <v>986</v>
      </c>
    </row>
    <row r="660" spans="78:81">
      <c r="BZ660">
        <v>608</v>
      </c>
      <c r="CA660" t="s">
        <v>859</v>
      </c>
      <c r="CB660">
        <v>6315.2621790503044</v>
      </c>
      <c r="CC660" t="s">
        <v>984</v>
      </c>
    </row>
    <row r="661" spans="78:81">
      <c r="BZ661">
        <v>609</v>
      </c>
      <c r="CA661" t="s">
        <v>860</v>
      </c>
      <c r="CB661">
        <v>6053.7298263502107</v>
      </c>
      <c r="CC661" t="s">
        <v>986</v>
      </c>
    </row>
    <row r="662" spans="78:81">
      <c r="BZ662">
        <v>610</v>
      </c>
      <c r="CA662" t="s">
        <v>861</v>
      </c>
      <c r="CB662">
        <v>6702.7840621935084</v>
      </c>
      <c r="CC662" t="s">
        <v>984</v>
      </c>
    </row>
    <row r="663" spans="78:81">
      <c r="BZ663">
        <v>611</v>
      </c>
      <c r="CA663" t="s">
        <v>862</v>
      </c>
      <c r="CB663">
        <v>5906.7602957998306</v>
      </c>
      <c r="CC663" t="s">
        <v>983</v>
      </c>
    </row>
    <row r="664" spans="78:81">
      <c r="BZ664">
        <v>612</v>
      </c>
      <c r="CA664" t="s">
        <v>863</v>
      </c>
      <c r="CB664">
        <v>5777.0777758503336</v>
      </c>
      <c r="CC664" t="s">
        <v>983</v>
      </c>
    </row>
    <row r="665" spans="78:81">
      <c r="BZ665">
        <v>613</v>
      </c>
      <c r="CA665" t="s">
        <v>864</v>
      </c>
      <c r="CB665">
        <v>6015.5774345232276</v>
      </c>
      <c r="CC665" t="s">
        <v>985</v>
      </c>
    </row>
    <row r="666" spans="78:81">
      <c r="BZ666">
        <v>614</v>
      </c>
      <c r="CA666" t="s">
        <v>865</v>
      </c>
      <c r="CB666">
        <v>5795.4874206526183</v>
      </c>
      <c r="CC666" t="s">
        <v>984</v>
      </c>
    </row>
    <row r="667" spans="78:81">
      <c r="BZ667">
        <v>615</v>
      </c>
      <c r="CA667" t="s">
        <v>866</v>
      </c>
      <c r="CB667">
        <v>5605.1428400045297</v>
      </c>
      <c r="CC667" t="s">
        <v>985</v>
      </c>
    </row>
    <row r="668" spans="78:81">
      <c r="BZ668">
        <v>616</v>
      </c>
      <c r="CA668" t="s">
        <v>867</v>
      </c>
      <c r="CB668">
        <v>6115.6011985679161</v>
      </c>
      <c r="CC668" t="s">
        <v>984</v>
      </c>
    </row>
    <row r="669" spans="78:81">
      <c r="BZ669">
        <v>617</v>
      </c>
      <c r="CA669" t="s">
        <v>868</v>
      </c>
      <c r="CB669">
        <v>6721.5206463181785</v>
      </c>
      <c r="CC669" t="s">
        <v>983</v>
      </c>
    </row>
    <row r="670" spans="78:81">
      <c r="BZ670">
        <v>618</v>
      </c>
      <c r="CA670" t="s">
        <v>869</v>
      </c>
      <c r="CB670">
        <v>6625.4755473814785</v>
      </c>
      <c r="CC670" t="s">
        <v>488</v>
      </c>
    </row>
    <row r="671" spans="78:81">
      <c r="BZ671">
        <v>619</v>
      </c>
      <c r="CA671" t="s">
        <v>870</v>
      </c>
      <c r="CB671">
        <v>6135.1180387575259</v>
      </c>
      <c r="CC671" t="s">
        <v>982</v>
      </c>
    </row>
    <row r="672" spans="78:81">
      <c r="BZ672">
        <v>620</v>
      </c>
      <c r="CA672" t="s">
        <v>871</v>
      </c>
      <c r="CB672">
        <v>6135.1180387575259</v>
      </c>
      <c r="CC672" t="s">
        <v>982</v>
      </c>
    </row>
    <row r="673" spans="78:81">
      <c r="BZ673">
        <v>621</v>
      </c>
      <c r="CA673" t="s">
        <v>872</v>
      </c>
      <c r="CB673">
        <v>6371.9252481668691</v>
      </c>
      <c r="CC673" t="s">
        <v>982</v>
      </c>
    </row>
    <row r="674" spans="78:81">
      <c r="BZ674">
        <v>622</v>
      </c>
      <c r="CA674" t="s">
        <v>873</v>
      </c>
      <c r="CB674">
        <v>6371.9252481668691</v>
      </c>
      <c r="CC674" t="s">
        <v>982</v>
      </c>
    </row>
    <row r="675" spans="78:81">
      <c r="BZ675">
        <v>623</v>
      </c>
      <c r="CA675" t="s">
        <v>874</v>
      </c>
      <c r="CB675">
        <v>6242.2427282173721</v>
      </c>
      <c r="CC675" t="s">
        <v>982</v>
      </c>
    </row>
    <row r="676" spans="78:81">
      <c r="BZ676">
        <v>624</v>
      </c>
      <c r="CA676" t="s">
        <v>875</v>
      </c>
      <c r="CB676">
        <v>6242.2427282173721</v>
      </c>
      <c r="CC676" t="s">
        <v>982</v>
      </c>
    </row>
    <row r="677" spans="78:81">
      <c r="BZ677">
        <v>625</v>
      </c>
      <c r="CA677" t="s">
        <v>876</v>
      </c>
      <c r="CB677">
        <v>6545.6403503189267</v>
      </c>
      <c r="CC677" t="s">
        <v>986</v>
      </c>
    </row>
    <row r="678" spans="78:81">
      <c r="BZ678">
        <v>626</v>
      </c>
      <c r="CA678" t="s">
        <v>877</v>
      </c>
      <c r="CB678">
        <v>5906.7602957998306</v>
      </c>
      <c r="CC678" t="s">
        <v>984</v>
      </c>
    </row>
    <row r="679" spans="78:81">
      <c r="BZ679">
        <v>627</v>
      </c>
      <c r="CA679" t="s">
        <v>878</v>
      </c>
      <c r="CB679">
        <v>5625.4851960750384</v>
      </c>
      <c r="CC679" t="s">
        <v>985</v>
      </c>
    </row>
    <row r="680" spans="78:81">
      <c r="BZ680">
        <v>628</v>
      </c>
      <c r="CA680" t="s">
        <v>879</v>
      </c>
      <c r="CB680">
        <v>6625.4755473814785</v>
      </c>
      <c r="CC680" t="s">
        <v>703</v>
      </c>
    </row>
    <row r="681" spans="78:81">
      <c r="BZ681">
        <v>629</v>
      </c>
      <c r="CA681" t="s">
        <v>880</v>
      </c>
      <c r="CB681">
        <v>6381.205235901346</v>
      </c>
      <c r="CC681" t="s">
        <v>983</v>
      </c>
    </row>
    <row r="682" spans="78:81">
      <c r="BZ682">
        <v>630</v>
      </c>
      <c r="CA682" t="s">
        <v>881</v>
      </c>
      <c r="CB682">
        <v>6144.3980264920028</v>
      </c>
      <c r="CC682" t="s">
        <v>983</v>
      </c>
    </row>
    <row r="683" spans="78:81">
      <c r="BZ683">
        <v>631</v>
      </c>
      <c r="CA683" t="s">
        <v>882</v>
      </c>
      <c r="CB683">
        <v>6584.0503477745006</v>
      </c>
      <c r="CC683" t="s">
        <v>986</v>
      </c>
    </row>
    <row r="684" spans="78:81">
      <c r="BZ684">
        <v>632</v>
      </c>
      <c r="CA684" t="s">
        <v>883</v>
      </c>
      <c r="CB684">
        <v>6364.4013630448999</v>
      </c>
      <c r="CC684" t="s">
        <v>984</v>
      </c>
    </row>
    <row r="685" spans="78:81">
      <c r="BZ685">
        <v>633</v>
      </c>
      <c r="CA685" t="s">
        <v>884</v>
      </c>
      <c r="CB685">
        <v>6107.700788515368</v>
      </c>
      <c r="CC685" t="s">
        <v>986</v>
      </c>
    </row>
    <row r="686" spans="78:81">
      <c r="BZ686">
        <v>634</v>
      </c>
      <c r="CA686" t="s">
        <v>885</v>
      </c>
      <c r="CB686">
        <v>6715.1050965284367</v>
      </c>
      <c r="CC686" t="s">
        <v>984</v>
      </c>
    </row>
    <row r="687" spans="78:81">
      <c r="BZ687">
        <v>635</v>
      </c>
      <c r="CA687" t="s">
        <v>886</v>
      </c>
      <c r="CB687">
        <v>5904.8275845316066</v>
      </c>
      <c r="CC687" t="s">
        <v>983</v>
      </c>
    </row>
    <row r="688" spans="78:81">
      <c r="BZ688">
        <v>636</v>
      </c>
      <c r="CA688" t="s">
        <v>887</v>
      </c>
      <c r="CB688">
        <v>5787.4660989170379</v>
      </c>
      <c r="CC688" t="s">
        <v>983</v>
      </c>
    </row>
    <row r="689" spans="78:81">
      <c r="BZ689">
        <v>637</v>
      </c>
      <c r="CA689" t="s">
        <v>888</v>
      </c>
      <c r="CB689">
        <v>6064.716618517823</v>
      </c>
      <c r="CC689" t="s">
        <v>985</v>
      </c>
    </row>
    <row r="690" spans="78:81">
      <c r="BZ690">
        <v>638</v>
      </c>
      <c r="CA690" t="s">
        <v>889</v>
      </c>
      <c r="CB690">
        <v>5807.8084549875466</v>
      </c>
      <c r="CC690" t="s">
        <v>984</v>
      </c>
    </row>
    <row r="691" spans="78:81">
      <c r="BZ691">
        <v>639</v>
      </c>
      <c r="CA691" t="s">
        <v>890</v>
      </c>
      <c r="CB691">
        <v>5607.0755512727537</v>
      </c>
      <c r="CC691" t="s">
        <v>985</v>
      </c>
    </row>
    <row r="692" spans="78:81">
      <c r="BZ692">
        <v>640</v>
      </c>
      <c r="CA692" t="s">
        <v>891</v>
      </c>
      <c r="CB692">
        <v>6164.7403825625133</v>
      </c>
      <c r="CC692" t="s">
        <v>984</v>
      </c>
    </row>
    <row r="693" spans="78:81">
      <c r="BZ693">
        <v>641</v>
      </c>
      <c r="CA693" t="s">
        <v>892</v>
      </c>
      <c r="CB693">
        <v>6731.9089693848828</v>
      </c>
      <c r="CC693" t="s">
        <v>983</v>
      </c>
    </row>
    <row r="694" spans="78:81">
      <c r="BZ694">
        <v>642</v>
      </c>
      <c r="CA694" t="s">
        <v>893</v>
      </c>
      <c r="CB694">
        <v>6621.5134892816195</v>
      </c>
      <c r="CC694" t="s">
        <v>488</v>
      </c>
    </row>
    <row r="695" spans="78:81">
      <c r="BZ695">
        <v>643</v>
      </c>
      <c r="CA695" t="s">
        <v>894</v>
      </c>
      <c r="CB695">
        <v>6085.9788547629305</v>
      </c>
      <c r="CC695" t="s">
        <v>982</v>
      </c>
    </row>
    <row r="696" spans="78:81">
      <c r="BZ696">
        <v>644</v>
      </c>
      <c r="CA696" t="s">
        <v>895</v>
      </c>
      <c r="CB696">
        <v>6085.9788547629305</v>
      </c>
      <c r="CC696" t="s">
        <v>982</v>
      </c>
    </row>
    <row r="697" spans="78:81">
      <c r="BZ697">
        <v>645</v>
      </c>
      <c r="CA697" t="s">
        <v>896</v>
      </c>
      <c r="CB697">
        <v>6322.7860641722737</v>
      </c>
      <c r="CC697" t="s">
        <v>982</v>
      </c>
    </row>
    <row r="698" spans="78:81">
      <c r="BZ698">
        <v>646</v>
      </c>
      <c r="CA698" t="s">
        <v>897</v>
      </c>
      <c r="CB698">
        <v>6322.7860641722737</v>
      </c>
      <c r="CC698" t="s">
        <v>982</v>
      </c>
    </row>
    <row r="699" spans="78:81">
      <c r="BZ699">
        <v>647</v>
      </c>
      <c r="CA699" t="s">
        <v>898</v>
      </c>
      <c r="CB699">
        <v>6205.424578557705</v>
      </c>
      <c r="CC699" t="s">
        <v>982</v>
      </c>
    </row>
    <row r="700" spans="78:81">
      <c r="BZ700">
        <v>648</v>
      </c>
      <c r="CA700" t="s">
        <v>899</v>
      </c>
      <c r="CB700">
        <v>6205.424578557705</v>
      </c>
      <c r="CC700" t="s">
        <v>982</v>
      </c>
    </row>
    <row r="701" spans="78:81">
      <c r="BZ701">
        <v>649</v>
      </c>
      <c r="CA701" t="s">
        <v>900</v>
      </c>
      <c r="CB701">
        <v>6584.0503477745006</v>
      </c>
      <c r="CC701" t="s">
        <v>986</v>
      </c>
    </row>
    <row r="702" spans="78:81">
      <c r="BZ702">
        <v>650</v>
      </c>
      <c r="CA702" t="s">
        <v>901</v>
      </c>
      <c r="CB702">
        <v>6381.205235901346</v>
      </c>
      <c r="CC702" t="s">
        <v>984</v>
      </c>
    </row>
    <row r="703" spans="78:81">
      <c r="BZ703">
        <v>651</v>
      </c>
      <c r="CA703" t="s">
        <v>902</v>
      </c>
      <c r="CB703">
        <v>6107.700788515368</v>
      </c>
      <c r="CC703" t="s">
        <v>986</v>
      </c>
    </row>
    <row r="704" spans="78:81">
      <c r="BZ704">
        <v>652</v>
      </c>
      <c r="CA704" t="s">
        <v>903</v>
      </c>
      <c r="CB704">
        <v>6731.9089693848828</v>
      </c>
      <c r="CC704" t="s">
        <v>984</v>
      </c>
    </row>
    <row r="705" spans="78:81">
      <c r="BZ705">
        <v>653</v>
      </c>
      <c r="CA705" t="s">
        <v>904</v>
      </c>
      <c r="CB705">
        <v>6315.2621790503044</v>
      </c>
      <c r="CC705" t="s">
        <v>983</v>
      </c>
    </row>
    <row r="706" spans="78:81">
      <c r="BZ706">
        <v>654</v>
      </c>
      <c r="CA706" t="s">
        <v>905</v>
      </c>
      <c r="CB706">
        <v>6197.9006934357358</v>
      </c>
      <c r="CC706" t="s">
        <v>983</v>
      </c>
    </row>
    <row r="707" spans="78:81">
      <c r="BZ707">
        <v>655</v>
      </c>
      <c r="CA707" t="s">
        <v>906</v>
      </c>
      <c r="CB707">
        <v>6580.0882896746416</v>
      </c>
      <c r="CC707" t="s">
        <v>986</v>
      </c>
    </row>
    <row r="708" spans="78:81">
      <c r="BZ708" s="93">
        <v>656</v>
      </c>
      <c r="CA708" s="93" t="s">
        <v>907</v>
      </c>
      <c r="CB708" s="93">
        <v>6333.9987631749746</v>
      </c>
      <c r="CC708" s="93" t="s">
        <v>984</v>
      </c>
    </row>
    <row r="709" spans="78:81">
      <c r="BZ709">
        <v>657</v>
      </c>
      <c r="CA709" t="s">
        <v>908</v>
      </c>
      <c r="CB709">
        <v>6053.7298263502107</v>
      </c>
      <c r="CC709" t="s">
        <v>986</v>
      </c>
    </row>
    <row r="710" spans="78:81">
      <c r="BZ710">
        <v>658</v>
      </c>
      <c r="CA710" t="s">
        <v>909</v>
      </c>
      <c r="CB710">
        <v>6721.5206463181785</v>
      </c>
      <c r="CC710" t="s">
        <v>984</v>
      </c>
    </row>
    <row r="711" spans="78:81">
      <c r="BZ711">
        <v>659</v>
      </c>
      <c r="CA711" t="s">
        <v>910</v>
      </c>
      <c r="CB711">
        <v>6364.4013630448999</v>
      </c>
      <c r="CC711" t="s">
        <v>983</v>
      </c>
    </row>
    <row r="712" spans="78:81">
      <c r="BZ712">
        <v>660</v>
      </c>
      <c r="CA712" t="s">
        <v>911</v>
      </c>
      <c r="CB712">
        <v>6234.7188430954029</v>
      </c>
      <c r="CC712" t="s">
        <v>983</v>
      </c>
    </row>
    <row r="713" spans="78:81">
      <c r="BZ713">
        <v>661</v>
      </c>
      <c r="CA713" t="s">
        <v>912</v>
      </c>
      <c r="CB713">
        <v>6034.3140186478977</v>
      </c>
      <c r="CC713" t="s">
        <v>985</v>
      </c>
    </row>
    <row r="714" spans="78:81">
      <c r="BZ714">
        <v>662</v>
      </c>
      <c r="CA714" t="s">
        <v>913</v>
      </c>
      <c r="CB714">
        <v>6271.8650720223595</v>
      </c>
      <c r="CC714" t="s">
        <v>984</v>
      </c>
    </row>
    <row r="715" spans="78:81">
      <c r="BZ715">
        <v>663</v>
      </c>
      <c r="CA715" t="s">
        <v>914</v>
      </c>
      <c r="CB715">
        <v>6081.5204913742691</v>
      </c>
      <c r="CC715" t="s">
        <v>985</v>
      </c>
    </row>
    <row r="716" spans="78:81">
      <c r="BZ716">
        <v>664</v>
      </c>
      <c r="CA716" t="s">
        <v>915</v>
      </c>
      <c r="CB716">
        <v>6235.0469223626906</v>
      </c>
      <c r="CC716" t="s">
        <v>984</v>
      </c>
    </row>
    <row r="717" spans="78:81">
      <c r="BZ717">
        <v>665</v>
      </c>
      <c r="CA717" t="s">
        <v>916</v>
      </c>
      <c r="CB717">
        <v>6702.7840621935084</v>
      </c>
      <c r="CC717" t="s">
        <v>983</v>
      </c>
    </row>
    <row r="718" spans="78:81">
      <c r="BZ718">
        <v>666</v>
      </c>
      <c r="CA718" t="s">
        <v>917</v>
      </c>
      <c r="CB718">
        <v>6715.1050965284367</v>
      </c>
      <c r="CC718" t="s">
        <v>983</v>
      </c>
    </row>
    <row r="719" spans="78:81">
      <c r="BZ719">
        <v>667</v>
      </c>
      <c r="CA719" t="s">
        <v>918</v>
      </c>
      <c r="CB719">
        <v>5778.186111182561</v>
      </c>
      <c r="CC719" t="s">
        <v>982</v>
      </c>
    </row>
    <row r="720" spans="78:81">
      <c r="BZ720">
        <v>668</v>
      </c>
      <c r="CA720" t="s">
        <v>919</v>
      </c>
      <c r="CB720">
        <v>5778.186111182561</v>
      </c>
      <c r="CC720" t="s">
        <v>982</v>
      </c>
    </row>
    <row r="721" spans="78:81">
      <c r="BZ721">
        <v>669</v>
      </c>
      <c r="CA721" t="s">
        <v>920</v>
      </c>
      <c r="CB721">
        <v>5895.5475967971297</v>
      </c>
      <c r="CC721" t="s">
        <v>982</v>
      </c>
    </row>
    <row r="722" spans="78:81">
      <c r="BZ722">
        <v>670</v>
      </c>
      <c r="CA722" t="s">
        <v>921</v>
      </c>
      <c r="CB722">
        <v>5895.5475967971297</v>
      </c>
      <c r="CC722" t="s">
        <v>982</v>
      </c>
    </row>
    <row r="723" spans="78:81">
      <c r="BZ723">
        <v>671</v>
      </c>
      <c r="CA723" t="s">
        <v>922</v>
      </c>
      <c r="CB723">
        <v>5765.8650768476327</v>
      </c>
      <c r="CC723" t="s">
        <v>982</v>
      </c>
    </row>
    <row r="724" spans="78:81">
      <c r="BZ724">
        <v>672</v>
      </c>
      <c r="CA724" t="s">
        <v>923</v>
      </c>
      <c r="CB724">
        <v>5765.8650768476327</v>
      </c>
      <c r="CC724" t="s">
        <v>982</v>
      </c>
    </row>
    <row r="725" spans="78:81">
      <c r="BZ725">
        <v>673</v>
      </c>
      <c r="CA725" t="s">
        <v>924</v>
      </c>
      <c r="CB725">
        <v>6064.716618517823</v>
      </c>
      <c r="CC725" t="s">
        <v>985</v>
      </c>
    </row>
    <row r="726" spans="78:81">
      <c r="BZ726">
        <v>674</v>
      </c>
      <c r="CA726" t="s">
        <v>925</v>
      </c>
      <c r="CB726">
        <v>5787.4660989170379</v>
      </c>
      <c r="CC726" t="s">
        <v>984</v>
      </c>
    </row>
    <row r="727" spans="78:81">
      <c r="BZ727">
        <v>675</v>
      </c>
      <c r="CA727" t="s">
        <v>926</v>
      </c>
      <c r="CB727">
        <v>5607.0755512727537</v>
      </c>
      <c r="CC727" t="s">
        <v>985</v>
      </c>
    </row>
    <row r="728" spans="78:81">
      <c r="BZ728">
        <v>676</v>
      </c>
      <c r="CA728" t="s">
        <v>927</v>
      </c>
      <c r="CB728">
        <v>6144.3980264920028</v>
      </c>
      <c r="CC728" t="s">
        <v>984</v>
      </c>
    </row>
    <row r="729" spans="78:81">
      <c r="BZ729">
        <v>677</v>
      </c>
      <c r="CA729" t="s">
        <v>928</v>
      </c>
      <c r="CB729">
        <v>6235.0469223626906</v>
      </c>
      <c r="CC729" t="s">
        <v>983</v>
      </c>
    </row>
    <row r="730" spans="78:81">
      <c r="BZ730">
        <v>678</v>
      </c>
      <c r="CA730" t="s">
        <v>929</v>
      </c>
      <c r="CB730">
        <v>6115.6011985679161</v>
      </c>
      <c r="CC730" t="s">
        <v>983</v>
      </c>
    </row>
    <row r="731" spans="78:81">
      <c r="BZ731">
        <v>679</v>
      </c>
      <c r="CA731" t="s">
        <v>930</v>
      </c>
      <c r="CB731">
        <v>6081.5204913742691</v>
      </c>
      <c r="CC731" t="s">
        <v>985</v>
      </c>
    </row>
    <row r="732" spans="78:81">
      <c r="BZ732">
        <v>680</v>
      </c>
      <c r="CA732" t="s">
        <v>931</v>
      </c>
      <c r="CB732">
        <v>6197.9006934357358</v>
      </c>
      <c r="CC732" t="s">
        <v>984</v>
      </c>
    </row>
    <row r="733" spans="78:81">
      <c r="BZ733">
        <v>681</v>
      </c>
      <c r="CA733" t="s">
        <v>932</v>
      </c>
      <c r="CB733">
        <v>6034.3140186478977</v>
      </c>
      <c r="CC733" t="s">
        <v>985</v>
      </c>
    </row>
    <row r="734" spans="78:81">
      <c r="BZ734">
        <v>682</v>
      </c>
      <c r="CA734" t="s">
        <v>933</v>
      </c>
      <c r="CB734">
        <v>6234.7188430954029</v>
      </c>
      <c r="CC734" t="s">
        <v>984</v>
      </c>
    </row>
    <row r="735" spans="78:81">
      <c r="BZ735">
        <v>683</v>
      </c>
      <c r="CA735" t="s">
        <v>934</v>
      </c>
      <c r="CB735">
        <v>5807.8084549875466</v>
      </c>
      <c r="CC735" t="s">
        <v>983</v>
      </c>
    </row>
    <row r="736" spans="78:81">
      <c r="BZ736">
        <v>684</v>
      </c>
      <c r="CA736" t="s">
        <v>935</v>
      </c>
      <c r="CB736">
        <v>5795.4874206526183</v>
      </c>
      <c r="CC736" t="s">
        <v>983</v>
      </c>
    </row>
    <row r="737" spans="78:81">
      <c r="BZ737">
        <v>685</v>
      </c>
      <c r="CA737" t="s">
        <v>936</v>
      </c>
      <c r="CB737">
        <v>6015.5774345232276</v>
      </c>
      <c r="CC737" t="s">
        <v>985</v>
      </c>
    </row>
    <row r="738" spans="78:81">
      <c r="BZ738">
        <v>686</v>
      </c>
      <c r="CA738" t="s">
        <v>937</v>
      </c>
      <c r="CB738">
        <v>5777.0777758503336</v>
      </c>
      <c r="CC738" t="s">
        <v>984</v>
      </c>
    </row>
    <row r="739" spans="78:81">
      <c r="BZ739">
        <v>687</v>
      </c>
      <c r="CA739" t="s">
        <v>938</v>
      </c>
      <c r="CB739">
        <v>5605.1428400045297</v>
      </c>
      <c r="CC739" t="s">
        <v>985</v>
      </c>
    </row>
    <row r="740" spans="78:81">
      <c r="BZ740">
        <v>688</v>
      </c>
      <c r="CA740" t="s">
        <v>939</v>
      </c>
      <c r="CB740">
        <v>6097.1915537656314</v>
      </c>
      <c r="CC740" t="s">
        <v>984</v>
      </c>
    </row>
    <row r="741" spans="78:81">
      <c r="BZ741">
        <v>689</v>
      </c>
      <c r="CA741" t="s">
        <v>940</v>
      </c>
      <c r="CB741">
        <v>6271.8650720223595</v>
      </c>
      <c r="CC741" t="s">
        <v>983</v>
      </c>
    </row>
    <row r="742" spans="78:81">
      <c r="BZ742">
        <v>690</v>
      </c>
      <c r="CA742" t="s">
        <v>941</v>
      </c>
      <c r="CB742">
        <v>6164.7403825625133</v>
      </c>
      <c r="CC742" t="s">
        <v>983</v>
      </c>
    </row>
    <row r="743" spans="78:81">
      <c r="BZ743">
        <v>691</v>
      </c>
      <c r="CA743" t="s">
        <v>942</v>
      </c>
      <c r="CB743">
        <v>6603.1832578556314</v>
      </c>
      <c r="CC743" t="s">
        <v>982</v>
      </c>
    </row>
    <row r="744" spans="78:81">
      <c r="BZ744">
        <v>692</v>
      </c>
      <c r="CA744" t="s">
        <v>943</v>
      </c>
      <c r="CB744">
        <v>6603.1832578556314</v>
      </c>
      <c r="CC744" t="s">
        <v>982</v>
      </c>
    </row>
    <row r="745" spans="78:81">
      <c r="BZ745">
        <v>693</v>
      </c>
      <c r="CA745" t="s">
        <v>944</v>
      </c>
      <c r="CB745">
        <v>6722.6289816504059</v>
      </c>
      <c r="CC745" t="s">
        <v>982</v>
      </c>
    </row>
    <row r="746" spans="78:81">
      <c r="BZ746">
        <v>694</v>
      </c>
      <c r="CA746" t="s">
        <v>945</v>
      </c>
      <c r="CB746">
        <v>6722.6289816504059</v>
      </c>
      <c r="CC746" t="s">
        <v>982</v>
      </c>
    </row>
    <row r="747" spans="78:81">
      <c r="BZ747">
        <v>695</v>
      </c>
      <c r="CA747" t="s">
        <v>946</v>
      </c>
      <c r="CB747">
        <v>6710.3079473154776</v>
      </c>
      <c r="CC747" t="s">
        <v>982</v>
      </c>
    </row>
    <row r="748" spans="78:81">
      <c r="BZ748">
        <v>696</v>
      </c>
      <c r="CA748" t="s">
        <v>947</v>
      </c>
      <c r="CB748">
        <v>6710.3079473154776</v>
      </c>
      <c r="CC748" t="s">
        <v>982</v>
      </c>
    </row>
    <row r="749" spans="78:81">
      <c r="BZ749">
        <v>697</v>
      </c>
      <c r="CA749" t="s">
        <v>948</v>
      </c>
      <c r="CB749">
        <v>5939.7728281881646</v>
      </c>
      <c r="CC749" t="s">
        <v>981</v>
      </c>
    </row>
    <row r="750" spans="78:81">
      <c r="BZ750">
        <v>698</v>
      </c>
      <c r="CA750" t="s">
        <v>949</v>
      </c>
      <c r="CB750">
        <v>5939.7728281881646</v>
      </c>
      <c r="CC750" t="s">
        <v>981</v>
      </c>
    </row>
    <row r="751" spans="78:81">
      <c r="BZ751">
        <v>699</v>
      </c>
      <c r="CA751" t="s">
        <v>950</v>
      </c>
      <c r="CB751">
        <v>5939.7728281881646</v>
      </c>
      <c r="CC751" t="s">
        <v>981</v>
      </c>
    </row>
    <row r="752" spans="78:81">
      <c r="BZ752">
        <v>700</v>
      </c>
      <c r="CA752" t="s">
        <v>951</v>
      </c>
      <c r="CB752">
        <v>5939.7728281881646</v>
      </c>
      <c r="CC752" t="s">
        <v>981</v>
      </c>
    </row>
    <row r="753" spans="78:81">
      <c r="BZ753">
        <v>701</v>
      </c>
      <c r="CA753" t="s">
        <v>952</v>
      </c>
      <c r="CB753">
        <v>5939.7728281881646</v>
      </c>
      <c r="CC753" t="s">
        <v>981</v>
      </c>
    </row>
    <row r="754" spans="78:81">
      <c r="BZ754">
        <v>702</v>
      </c>
      <c r="CA754" t="s">
        <v>953</v>
      </c>
      <c r="CB754">
        <v>5939.7728281881646</v>
      </c>
      <c r="CC754" t="s">
        <v>981</v>
      </c>
    </row>
    <row r="755" spans="78:81">
      <c r="BZ755">
        <v>703</v>
      </c>
      <c r="CA755" t="s">
        <v>954</v>
      </c>
      <c r="CB755">
        <v>5832.6481387283184</v>
      </c>
      <c r="CC755" t="s">
        <v>981</v>
      </c>
    </row>
    <row r="756" spans="78:81">
      <c r="BZ756">
        <v>704</v>
      </c>
      <c r="CA756" t="s">
        <v>955</v>
      </c>
      <c r="CB756">
        <v>5832.6481387283184</v>
      </c>
      <c r="CC756" t="s">
        <v>981</v>
      </c>
    </row>
    <row r="757" spans="78:81">
      <c r="BZ757">
        <v>705</v>
      </c>
      <c r="CA757" t="s">
        <v>956</v>
      </c>
      <c r="CB757">
        <v>5832.6481387283184</v>
      </c>
      <c r="CC757" t="s">
        <v>981</v>
      </c>
    </row>
    <row r="758" spans="78:81">
      <c r="BZ758">
        <v>706</v>
      </c>
      <c r="CA758" t="s">
        <v>957</v>
      </c>
      <c r="CB758">
        <v>5832.6481387283184</v>
      </c>
      <c r="CC758" t="s">
        <v>981</v>
      </c>
    </row>
    <row r="759" spans="78:81">
      <c r="BZ759">
        <v>707</v>
      </c>
      <c r="CA759" t="s">
        <v>958</v>
      </c>
      <c r="CB759">
        <v>5832.6481387283184</v>
      </c>
      <c r="CC759" t="s">
        <v>981</v>
      </c>
    </row>
    <row r="760" spans="78:81">
      <c r="BZ760">
        <v>708</v>
      </c>
      <c r="CA760" t="s">
        <v>959</v>
      </c>
      <c r="CB760">
        <v>5832.6481387283184</v>
      </c>
      <c r="CC760" t="s">
        <v>981</v>
      </c>
    </row>
    <row r="761" spans="78:81">
      <c r="BZ761">
        <v>709</v>
      </c>
      <c r="CA761" t="s">
        <v>960</v>
      </c>
      <c r="CB761">
        <v>6069.4553481376615</v>
      </c>
      <c r="CC761" t="s">
        <v>981</v>
      </c>
    </row>
    <row r="762" spans="78:81">
      <c r="BZ762">
        <v>710</v>
      </c>
      <c r="CA762" t="s">
        <v>961</v>
      </c>
      <c r="CB762">
        <v>6069.4553481376615</v>
      </c>
      <c r="CC762" t="s">
        <v>981</v>
      </c>
    </row>
    <row r="763" spans="78:81">
      <c r="BZ763">
        <v>711</v>
      </c>
      <c r="CA763" t="s">
        <v>962</v>
      </c>
      <c r="CB763">
        <v>6069.4553481376615</v>
      </c>
      <c r="CC763" t="s">
        <v>981</v>
      </c>
    </row>
    <row r="764" spans="78:81">
      <c r="BZ764">
        <v>712</v>
      </c>
      <c r="CA764" t="s">
        <v>963</v>
      </c>
      <c r="CB764">
        <v>6069.4553481376615</v>
      </c>
      <c r="CC764" t="s">
        <v>981</v>
      </c>
    </row>
    <row r="765" spans="78:81">
      <c r="BZ765">
        <v>713</v>
      </c>
      <c r="CA765" t="s">
        <v>964</v>
      </c>
      <c r="CB765">
        <v>6069.4553481376615</v>
      </c>
      <c r="CC765" t="s">
        <v>981</v>
      </c>
    </row>
    <row r="766" spans="78:81">
      <c r="BZ766">
        <v>714</v>
      </c>
      <c r="CA766" t="s">
        <v>965</v>
      </c>
      <c r="CB766">
        <v>6069.4553481376615</v>
      </c>
      <c r="CC766" t="s">
        <v>981</v>
      </c>
    </row>
    <row r="767" spans="78:81">
      <c r="BZ767">
        <v>715</v>
      </c>
      <c r="CA767" t="s">
        <v>966</v>
      </c>
      <c r="CB767">
        <v>5952.0938625230929</v>
      </c>
      <c r="CC767" t="s">
        <v>981</v>
      </c>
    </row>
    <row r="768" spans="78:81">
      <c r="BZ768">
        <v>716</v>
      </c>
      <c r="CA768" t="s">
        <v>967</v>
      </c>
      <c r="CB768">
        <v>5952.0938625230929</v>
      </c>
      <c r="CC768" t="s">
        <v>981</v>
      </c>
    </row>
    <row r="769" spans="78:81">
      <c r="BZ769">
        <v>717</v>
      </c>
      <c r="CA769" t="s">
        <v>968</v>
      </c>
      <c r="CB769">
        <v>5952.0938625230929</v>
      </c>
      <c r="CC769" t="s">
        <v>981</v>
      </c>
    </row>
    <row r="770" spans="78:81">
      <c r="BZ770">
        <v>718</v>
      </c>
      <c r="CA770" t="s">
        <v>969</v>
      </c>
      <c r="CB770">
        <v>5952.0938625230929</v>
      </c>
      <c r="CC770" t="s">
        <v>981</v>
      </c>
    </row>
    <row r="771" spans="78:81">
      <c r="BZ771">
        <v>719</v>
      </c>
      <c r="CA771" t="s">
        <v>970</v>
      </c>
      <c r="CB771">
        <v>5952.0938625230929</v>
      </c>
      <c r="CC771" t="s">
        <v>981</v>
      </c>
    </row>
    <row r="772" spans="78:81">
      <c r="BZ772">
        <v>720</v>
      </c>
      <c r="CA772" t="s">
        <v>971</v>
      </c>
      <c r="CB772">
        <v>5952.0938625230929</v>
      </c>
      <c r="CC772" t="s">
        <v>981</v>
      </c>
    </row>
  </sheetData>
  <mergeCells count="21">
    <mergeCell ref="A2:E2"/>
    <mergeCell ref="G2:H2"/>
    <mergeCell ref="A3:A4"/>
    <mergeCell ref="B3:C3"/>
    <mergeCell ref="D3:D4"/>
    <mergeCell ref="E3:E4"/>
    <mergeCell ref="G3:H3"/>
    <mergeCell ref="G4:H4"/>
    <mergeCell ref="I15:AA15"/>
    <mergeCell ref="I34:N34"/>
    <mergeCell ref="P34:U34"/>
    <mergeCell ref="V34:AA34"/>
    <mergeCell ref="C16:D16"/>
    <mergeCell ref="N2:O2"/>
    <mergeCell ref="G5:H5"/>
    <mergeCell ref="G6:H6"/>
    <mergeCell ref="G7:H7"/>
    <mergeCell ref="G14:H14"/>
    <mergeCell ref="K3:L3"/>
    <mergeCell ref="K4:L4"/>
    <mergeCell ref="K5:L5"/>
  </mergeCells>
  <phoneticPr fontId="21" type="noConversion"/>
  <conditionalFormatting sqref="BY53:BY193">
    <cfRule type="top10" dxfId="7" priority="10" rank="1"/>
  </conditionalFormatting>
  <conditionalFormatting sqref="AA53:AL157">
    <cfRule type="expression" dxfId="6" priority="8">
      <formula>AND(AA53&lt;&gt;"",ISNUMBER(AA53),AA53&gt;=0)</formula>
    </cfRule>
  </conditionalFormatting>
  <conditionalFormatting sqref="AM53:AY175">
    <cfRule type="expression" dxfId="5" priority="7">
      <formula>AND(AM53&lt;&gt;"",ISNUMBER(AM53),AM53&gt;=0)</formula>
    </cfRule>
  </conditionalFormatting>
  <conditionalFormatting sqref="AY53:BJ193">
    <cfRule type="expression" dxfId="4" priority="6">
      <formula>AND(AY53&lt;&gt;"",ISNUMBER(AY53),AY53&gt;=0)</formula>
    </cfRule>
  </conditionalFormatting>
  <conditionalFormatting sqref="BK53:BV112">
    <cfRule type="expression" dxfId="3" priority="5">
      <formula>AND(BK53&lt;&gt;"",ISNUMBER(BK53),BK53&gt;=0)</formula>
    </cfRule>
  </conditionalFormatting>
  <conditionalFormatting sqref="BK53:BV194">
    <cfRule type="expression" dxfId="2" priority="3">
      <formula>AND(BK53&lt;&gt;"",ISNUMBER(BK53),BK53&gt;=0)</formula>
    </cfRule>
  </conditionalFormatting>
  <conditionalFormatting sqref="C53:N97">
    <cfRule type="expression" dxfId="1" priority="2">
      <formula>AND(C53&lt;&gt;"",ISNUMBER(C53),C53&gt;=0)</formula>
    </cfRule>
  </conditionalFormatting>
  <conditionalFormatting sqref="O53:Z109">
    <cfRule type="expression" dxfId="0" priority="1">
      <formula>AND(O53&lt;&gt;"",ISNUMBER(O53),O53&gt;=0)</formula>
    </cfRule>
  </conditionalFormatting>
  <pageMargins left="0.7" right="0.7" top="0.75" bottom="0.75" header="0.3" footer="0.3"/>
  <pageSetup orientation="portrait" r:id="rId1"/>
  <ignoredErrors>
    <ignoredError sqref="Q36:Q47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7D8D-28E2-4805-9985-D49618D0B69B}">
  <sheetPr codeName="Sheet5"/>
  <dimension ref="A2:Z49"/>
  <sheetViews>
    <sheetView zoomScale="80" zoomScaleNormal="80" workbookViewId="0">
      <selection activeCell="S54" sqref="S54"/>
    </sheetView>
  </sheetViews>
  <sheetFormatPr defaultRowHeight="14.4"/>
  <cols>
    <col min="1" max="1" width="11.109375" customWidth="1"/>
    <col min="24" max="24" width="12.77734375" customWidth="1"/>
    <col min="25" max="25" width="12.109375" customWidth="1"/>
    <col min="26" max="26" width="14" customWidth="1"/>
  </cols>
  <sheetData>
    <row r="2" spans="1:26" s="48" customFormat="1" ht="36.6" customHeight="1">
      <c r="A2" s="166" t="s">
        <v>122</v>
      </c>
      <c r="B2" s="168" t="s">
        <v>164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49" t="s">
        <v>130</v>
      </c>
      <c r="Y2" s="49" t="s">
        <v>131</v>
      </c>
      <c r="Z2" s="49" t="s">
        <v>132</v>
      </c>
    </row>
    <row r="3" spans="1:26" ht="30.6" customHeight="1">
      <c r="A3" s="167"/>
      <c r="B3" s="49">
        <v>323</v>
      </c>
      <c r="C3" s="49">
        <v>324</v>
      </c>
      <c r="D3" s="49">
        <v>325</v>
      </c>
      <c r="E3" s="49" t="s">
        <v>123</v>
      </c>
      <c r="F3" s="49" t="s">
        <v>124</v>
      </c>
      <c r="G3" s="49">
        <v>402</v>
      </c>
      <c r="H3" s="49" t="s">
        <v>125</v>
      </c>
      <c r="I3" s="49" t="s">
        <v>126</v>
      </c>
      <c r="J3" s="49">
        <v>404</v>
      </c>
      <c r="K3" s="49">
        <v>405</v>
      </c>
      <c r="L3" s="49">
        <v>406</v>
      </c>
      <c r="M3" s="49">
        <v>407</v>
      </c>
      <c r="N3" s="49" t="s">
        <v>127</v>
      </c>
      <c r="O3" s="49" t="s">
        <v>128</v>
      </c>
      <c r="P3" s="49" t="s">
        <v>129</v>
      </c>
      <c r="Q3" s="49">
        <v>409</v>
      </c>
      <c r="R3" s="49">
        <v>411</v>
      </c>
      <c r="S3" s="49">
        <v>413</v>
      </c>
      <c r="T3" s="49">
        <v>414</v>
      </c>
      <c r="U3" s="49">
        <v>415</v>
      </c>
      <c r="V3" s="49">
        <v>417</v>
      </c>
      <c r="W3" s="49">
        <v>418</v>
      </c>
      <c r="X3" s="165" t="s">
        <v>121</v>
      </c>
      <c r="Y3" s="165"/>
      <c r="Z3" s="165"/>
    </row>
    <row r="4" spans="1:26">
      <c r="A4" s="40">
        <v>1</v>
      </c>
      <c r="B4" s="40">
        <v>20.399999999999999</v>
      </c>
      <c r="C4" s="40">
        <v>15</v>
      </c>
      <c r="D4" s="40">
        <v>16</v>
      </c>
      <c r="E4" s="40">
        <v>21.9</v>
      </c>
      <c r="F4" s="40">
        <v>21.2</v>
      </c>
      <c r="G4" s="40">
        <v>16.5</v>
      </c>
      <c r="H4" s="40">
        <v>10.9</v>
      </c>
      <c r="I4" s="40">
        <v>17</v>
      </c>
      <c r="J4" s="40">
        <v>11.1</v>
      </c>
      <c r="K4" s="40">
        <v>18.2</v>
      </c>
      <c r="L4" s="40">
        <v>19</v>
      </c>
      <c r="M4" s="40">
        <v>16.5</v>
      </c>
      <c r="N4" s="40">
        <v>15.1</v>
      </c>
      <c r="O4" s="40">
        <v>14.9</v>
      </c>
      <c r="P4" s="40">
        <v>19.399999999999999</v>
      </c>
      <c r="Q4" s="40">
        <v>19.100000000000001</v>
      </c>
      <c r="R4" s="40">
        <v>16.600000000000001</v>
      </c>
      <c r="S4" s="40">
        <v>19.7</v>
      </c>
      <c r="T4" s="40">
        <v>18.3</v>
      </c>
      <c r="U4" s="40">
        <v>17.399999999999999</v>
      </c>
      <c r="V4" s="40">
        <v>22.9</v>
      </c>
      <c r="W4" s="40">
        <v>21.6</v>
      </c>
      <c r="X4" s="40">
        <v>18.899999999999999</v>
      </c>
      <c r="Y4" s="40">
        <v>15.8</v>
      </c>
      <c r="Z4" s="40">
        <v>17.5</v>
      </c>
    </row>
    <row r="5" spans="1:26">
      <c r="A5" s="40">
        <v>2</v>
      </c>
      <c r="B5" s="40">
        <v>35.9</v>
      </c>
      <c r="C5" s="40">
        <v>22.9</v>
      </c>
      <c r="D5" s="40">
        <v>25.2</v>
      </c>
      <c r="E5" s="40">
        <v>39.5</v>
      </c>
      <c r="F5" s="40">
        <v>31.5</v>
      </c>
      <c r="G5" s="40">
        <v>27.2</v>
      </c>
      <c r="H5" s="40">
        <v>17.600000000000001</v>
      </c>
      <c r="I5" s="40">
        <v>28.4</v>
      </c>
      <c r="J5" s="40">
        <v>17.600000000000001</v>
      </c>
      <c r="K5" s="40">
        <v>24.4</v>
      </c>
      <c r="L5" s="40">
        <v>29.3</v>
      </c>
      <c r="M5" s="40">
        <v>24.5</v>
      </c>
      <c r="N5" s="40">
        <v>25.5</v>
      </c>
      <c r="O5" s="40">
        <v>23.7</v>
      </c>
      <c r="P5" s="40">
        <v>29.9</v>
      </c>
      <c r="Q5" s="40">
        <v>29.3</v>
      </c>
      <c r="R5" s="40">
        <v>26.3</v>
      </c>
      <c r="S5" s="40">
        <v>33.700000000000003</v>
      </c>
      <c r="T5" s="40">
        <v>31.2</v>
      </c>
      <c r="U5" s="40">
        <v>28.1</v>
      </c>
      <c r="V5" s="40">
        <v>34.799999999999997</v>
      </c>
      <c r="W5" s="40">
        <v>32.799999999999997</v>
      </c>
      <c r="X5" s="40">
        <v>29.4</v>
      </c>
      <c r="Y5" s="40">
        <v>25</v>
      </c>
      <c r="Z5" s="40">
        <v>27.4</v>
      </c>
    </row>
    <row r="6" spans="1:26">
      <c r="A6" s="40">
        <v>3</v>
      </c>
      <c r="B6" s="40">
        <v>46.4</v>
      </c>
      <c r="C6" s="40">
        <v>30.2</v>
      </c>
      <c r="D6" s="40">
        <v>34</v>
      </c>
      <c r="E6" s="40">
        <v>48.9</v>
      </c>
      <c r="F6" s="40">
        <v>39.4</v>
      </c>
      <c r="G6" s="40">
        <v>34.9</v>
      </c>
      <c r="H6" s="40">
        <v>23.6</v>
      </c>
      <c r="I6" s="40">
        <v>37.799999999999997</v>
      </c>
      <c r="J6" s="40">
        <v>24</v>
      </c>
      <c r="K6" s="40">
        <v>30.1</v>
      </c>
      <c r="L6" s="40">
        <v>38.5</v>
      </c>
      <c r="M6" s="40">
        <v>32.299999999999997</v>
      </c>
      <c r="N6" s="40">
        <v>31.6</v>
      </c>
      <c r="O6" s="40">
        <v>31.9</v>
      </c>
      <c r="P6" s="40">
        <v>39.9</v>
      </c>
      <c r="Q6" s="40">
        <v>36.4</v>
      </c>
      <c r="R6" s="40">
        <v>33</v>
      </c>
      <c r="S6" s="40">
        <v>43.8</v>
      </c>
      <c r="T6" s="40">
        <v>39</v>
      </c>
      <c r="U6" s="40">
        <v>36.6</v>
      </c>
      <c r="V6" s="40">
        <v>45.8</v>
      </c>
      <c r="W6" s="40">
        <v>40.9</v>
      </c>
      <c r="X6" s="40">
        <v>37</v>
      </c>
      <c r="Y6" s="40">
        <v>33.200000000000003</v>
      </c>
      <c r="Z6" s="40">
        <v>35.299999999999997</v>
      </c>
    </row>
    <row r="7" spans="1:26">
      <c r="A7" s="40">
        <v>4</v>
      </c>
      <c r="B7" s="40">
        <v>53.5</v>
      </c>
      <c r="C7" s="40">
        <v>37.4</v>
      </c>
      <c r="D7" s="40">
        <v>40.299999999999997</v>
      </c>
      <c r="E7" s="40">
        <v>55.2</v>
      </c>
      <c r="F7" s="40">
        <v>47.1</v>
      </c>
      <c r="G7" s="40">
        <v>41.3</v>
      </c>
      <c r="H7" s="40">
        <v>29.3</v>
      </c>
      <c r="I7" s="40">
        <v>46.4</v>
      </c>
      <c r="J7" s="40">
        <v>30.1</v>
      </c>
      <c r="K7" s="40">
        <v>35.700000000000003</v>
      </c>
      <c r="L7" s="40">
        <v>46.3</v>
      </c>
      <c r="M7" s="40">
        <v>39.6</v>
      </c>
      <c r="N7" s="40">
        <v>36.9</v>
      </c>
      <c r="O7" s="40">
        <v>38.6</v>
      </c>
      <c r="P7" s="40">
        <v>47.7</v>
      </c>
      <c r="Q7" s="40">
        <v>44</v>
      </c>
      <c r="R7" s="40">
        <v>39.5</v>
      </c>
      <c r="S7" s="40">
        <v>51.1</v>
      </c>
      <c r="T7" s="40">
        <v>46.7</v>
      </c>
      <c r="U7" s="40">
        <v>45</v>
      </c>
      <c r="V7" s="40">
        <v>52.3</v>
      </c>
      <c r="W7" s="40">
        <v>47.4</v>
      </c>
      <c r="X7" s="40">
        <v>43.1</v>
      </c>
      <c r="Y7" s="40">
        <v>40.4</v>
      </c>
      <c r="Z7" s="40">
        <v>41.9</v>
      </c>
    </row>
    <row r="8" spans="1:26">
      <c r="A8" s="40">
        <v>5</v>
      </c>
      <c r="B8" s="40">
        <v>59.4</v>
      </c>
      <c r="C8" s="40">
        <v>44</v>
      </c>
      <c r="D8" s="40">
        <v>46</v>
      </c>
      <c r="E8" s="40">
        <v>59.5</v>
      </c>
      <c r="F8" s="40">
        <v>53.8</v>
      </c>
      <c r="G8" s="40">
        <v>46.8</v>
      </c>
      <c r="H8" s="40">
        <v>34.799999999999997</v>
      </c>
      <c r="I8" s="40">
        <v>53.9</v>
      </c>
      <c r="J8" s="40">
        <v>36</v>
      </c>
      <c r="K8" s="40">
        <v>40.5</v>
      </c>
      <c r="L8" s="40">
        <v>53.5</v>
      </c>
      <c r="M8" s="40">
        <v>45.8</v>
      </c>
      <c r="N8" s="40">
        <v>42.2</v>
      </c>
      <c r="O8" s="40">
        <v>43.9</v>
      </c>
      <c r="P8" s="40">
        <v>52.5</v>
      </c>
      <c r="Q8" s="40">
        <v>48.9</v>
      </c>
      <c r="R8" s="40">
        <v>45.8</v>
      </c>
      <c r="S8" s="40">
        <v>57.8</v>
      </c>
      <c r="T8" s="40">
        <v>52.8</v>
      </c>
      <c r="U8" s="40">
        <v>52.7</v>
      </c>
      <c r="V8" s="40">
        <v>58.1</v>
      </c>
      <c r="W8" s="40">
        <v>52.9</v>
      </c>
      <c r="X8" s="40">
        <v>48.6</v>
      </c>
      <c r="Y8" s="40">
        <v>45.9</v>
      </c>
      <c r="Z8" s="40">
        <v>47.4</v>
      </c>
    </row>
    <row r="9" spans="1:26">
      <c r="A9" s="40">
        <v>6</v>
      </c>
      <c r="B9" s="40">
        <v>64.8</v>
      </c>
      <c r="C9" s="40">
        <v>49.3</v>
      </c>
      <c r="D9" s="40">
        <v>51.4</v>
      </c>
      <c r="E9" s="40">
        <v>63.7</v>
      </c>
      <c r="F9" s="40">
        <v>58.9</v>
      </c>
      <c r="G9" s="40">
        <v>51.8</v>
      </c>
      <c r="H9" s="40">
        <v>40.1</v>
      </c>
      <c r="I9" s="40">
        <v>60.1</v>
      </c>
      <c r="J9" s="40">
        <v>41.1</v>
      </c>
      <c r="K9" s="40">
        <v>45.2</v>
      </c>
      <c r="L9" s="40">
        <v>60</v>
      </c>
      <c r="M9" s="40">
        <v>51</v>
      </c>
      <c r="N9" s="40">
        <v>47.1</v>
      </c>
      <c r="O9" s="40">
        <v>48.3</v>
      </c>
      <c r="P9" s="40">
        <v>57.2</v>
      </c>
      <c r="Q9" s="40">
        <v>53.9</v>
      </c>
      <c r="R9" s="40">
        <v>51.1</v>
      </c>
      <c r="S9" s="40">
        <v>62.7</v>
      </c>
      <c r="T9" s="40">
        <v>58.3</v>
      </c>
      <c r="U9" s="40">
        <v>60</v>
      </c>
      <c r="V9" s="40">
        <v>62.7</v>
      </c>
      <c r="W9" s="40">
        <v>58.1</v>
      </c>
      <c r="X9" s="40">
        <v>53.3</v>
      </c>
      <c r="Y9" s="40">
        <v>50.7</v>
      </c>
      <c r="Z9" s="40">
        <v>52.1</v>
      </c>
    </row>
    <row r="10" spans="1:26">
      <c r="A10" s="40">
        <v>7</v>
      </c>
      <c r="B10" s="40">
        <v>69.5</v>
      </c>
      <c r="C10" s="40">
        <v>53.6</v>
      </c>
      <c r="D10" s="40">
        <v>56.7</v>
      </c>
      <c r="E10" s="40">
        <v>67.8</v>
      </c>
      <c r="F10" s="40">
        <v>63.5</v>
      </c>
      <c r="G10" s="40">
        <v>55.9</v>
      </c>
      <c r="H10" s="40">
        <v>44.7</v>
      </c>
      <c r="I10" s="40">
        <v>65.8</v>
      </c>
      <c r="J10" s="40">
        <v>46.2</v>
      </c>
      <c r="K10" s="40">
        <v>49.7</v>
      </c>
      <c r="L10" s="40">
        <v>64.2</v>
      </c>
      <c r="M10" s="40">
        <v>55.4</v>
      </c>
      <c r="N10" s="40">
        <v>51.8</v>
      </c>
      <c r="O10" s="40">
        <v>52.6</v>
      </c>
      <c r="P10" s="40">
        <v>61.2</v>
      </c>
      <c r="Q10" s="40">
        <v>59.1</v>
      </c>
      <c r="R10" s="40">
        <v>56.4</v>
      </c>
      <c r="S10" s="40">
        <v>67.099999999999994</v>
      </c>
      <c r="T10" s="40">
        <v>63.7</v>
      </c>
      <c r="U10" s="40">
        <v>66.900000000000006</v>
      </c>
      <c r="V10" s="40">
        <v>66.8</v>
      </c>
      <c r="W10" s="40">
        <v>63.1</v>
      </c>
      <c r="X10" s="40">
        <v>57.6</v>
      </c>
      <c r="Y10" s="40">
        <v>55.3</v>
      </c>
      <c r="Z10" s="40">
        <v>56.5</v>
      </c>
    </row>
    <row r="11" spans="1:26">
      <c r="A11" s="40">
        <v>8</v>
      </c>
      <c r="B11" s="40">
        <v>73.099999999999994</v>
      </c>
      <c r="C11" s="40">
        <v>57.6</v>
      </c>
      <c r="D11" s="40">
        <v>61.1</v>
      </c>
      <c r="E11" s="40">
        <v>71.5</v>
      </c>
      <c r="F11" s="40">
        <v>67.900000000000006</v>
      </c>
      <c r="G11" s="40">
        <v>59.8</v>
      </c>
      <c r="H11" s="40">
        <v>49.1</v>
      </c>
      <c r="I11" s="40">
        <v>71.099999999999994</v>
      </c>
      <c r="J11" s="40">
        <v>51.3</v>
      </c>
      <c r="K11" s="40">
        <v>54.2</v>
      </c>
      <c r="L11" s="40">
        <v>68.2</v>
      </c>
      <c r="M11" s="40">
        <v>59.1</v>
      </c>
      <c r="N11" s="40">
        <v>56.4</v>
      </c>
      <c r="O11" s="40">
        <v>56.7</v>
      </c>
      <c r="P11" s="40">
        <v>65</v>
      </c>
      <c r="Q11" s="40">
        <v>62.6</v>
      </c>
      <c r="R11" s="40">
        <v>61.1</v>
      </c>
      <c r="S11" s="40">
        <v>70.099999999999994</v>
      </c>
      <c r="T11" s="40">
        <v>69.099999999999994</v>
      </c>
      <c r="U11" s="40">
        <v>73.400000000000006</v>
      </c>
      <c r="V11" s="40">
        <v>70.8</v>
      </c>
      <c r="W11" s="40">
        <v>67.7</v>
      </c>
      <c r="X11" s="40">
        <v>61.7</v>
      </c>
      <c r="Y11" s="40">
        <v>59.8</v>
      </c>
      <c r="Z11" s="40">
        <v>60.8</v>
      </c>
    </row>
    <row r="12" spans="1:26">
      <c r="A12" s="40">
        <v>9</v>
      </c>
      <c r="B12" s="40">
        <v>76.5</v>
      </c>
      <c r="C12" s="40">
        <v>61.5</v>
      </c>
      <c r="D12" s="40">
        <v>65.2</v>
      </c>
      <c r="E12" s="40">
        <v>75.099999999999994</v>
      </c>
      <c r="F12" s="40">
        <v>71.8</v>
      </c>
      <c r="G12" s="40">
        <v>63.5</v>
      </c>
      <c r="H12" s="40">
        <v>53.4</v>
      </c>
      <c r="I12" s="40">
        <v>75.900000000000006</v>
      </c>
      <c r="J12" s="40">
        <v>56.4</v>
      </c>
      <c r="K12" s="40">
        <v>58.5</v>
      </c>
      <c r="L12" s="40">
        <v>72</v>
      </c>
      <c r="M12" s="40">
        <v>62.7</v>
      </c>
      <c r="N12" s="40">
        <v>60.8</v>
      </c>
      <c r="O12" s="40">
        <v>60.7</v>
      </c>
      <c r="P12" s="40">
        <v>68.599999999999994</v>
      </c>
      <c r="Q12" s="40">
        <v>67.7</v>
      </c>
      <c r="R12" s="40">
        <v>65.8</v>
      </c>
      <c r="S12" s="40">
        <v>72.900000000000006</v>
      </c>
      <c r="T12" s="40">
        <v>74.400000000000006</v>
      </c>
      <c r="U12" s="40">
        <v>78.900000000000006</v>
      </c>
      <c r="V12" s="40">
        <v>73.599999999999994</v>
      </c>
      <c r="W12" s="40">
        <v>72.2</v>
      </c>
      <c r="X12" s="40">
        <v>65.7</v>
      </c>
      <c r="Y12" s="40">
        <v>64.2</v>
      </c>
      <c r="Z12" s="40">
        <v>65</v>
      </c>
    </row>
    <row r="13" spans="1:26">
      <c r="A13" s="40">
        <v>10</v>
      </c>
      <c r="B13" s="40">
        <v>79.8</v>
      </c>
      <c r="C13" s="40">
        <v>65.3</v>
      </c>
      <c r="D13" s="40">
        <v>69.099999999999994</v>
      </c>
      <c r="E13" s="40">
        <v>78.099999999999994</v>
      </c>
      <c r="F13" s="40">
        <v>75.599999999999994</v>
      </c>
      <c r="G13" s="40">
        <v>67.099999999999994</v>
      </c>
      <c r="H13" s="40">
        <v>57.6</v>
      </c>
      <c r="I13" s="40">
        <v>80.3</v>
      </c>
      <c r="J13" s="40">
        <v>61.1</v>
      </c>
      <c r="K13" s="40">
        <v>62.7</v>
      </c>
      <c r="L13" s="40">
        <v>75.099999999999994</v>
      </c>
      <c r="M13" s="40">
        <v>66</v>
      </c>
      <c r="N13" s="40">
        <v>65.2</v>
      </c>
      <c r="O13" s="40">
        <v>64.599999999999994</v>
      </c>
      <c r="P13" s="40">
        <v>72.099999999999994</v>
      </c>
      <c r="Q13" s="40">
        <v>74.3</v>
      </c>
      <c r="R13" s="40">
        <v>70.3</v>
      </c>
      <c r="S13" s="40">
        <v>75.7</v>
      </c>
      <c r="T13" s="40">
        <v>78.599999999999994</v>
      </c>
      <c r="U13" s="40">
        <v>82.1</v>
      </c>
      <c r="V13" s="40">
        <v>76.099999999999994</v>
      </c>
      <c r="W13" s="40">
        <v>76.3</v>
      </c>
      <c r="X13" s="40">
        <v>69.599999999999994</v>
      </c>
      <c r="Y13" s="40">
        <v>68.5</v>
      </c>
      <c r="Z13" s="40">
        <v>69.099999999999994</v>
      </c>
    </row>
    <row r="14" spans="1:26">
      <c r="A14" s="40">
        <v>11</v>
      </c>
      <c r="B14" s="40">
        <v>82.8</v>
      </c>
      <c r="C14" s="40">
        <v>69</v>
      </c>
      <c r="D14" s="40">
        <v>72.7</v>
      </c>
      <c r="E14" s="40">
        <v>80.900000000000006</v>
      </c>
      <c r="F14" s="40">
        <v>78.8</v>
      </c>
      <c r="G14" s="40">
        <v>70.599999999999994</v>
      </c>
      <c r="H14" s="40">
        <v>61.8</v>
      </c>
      <c r="I14" s="40">
        <v>84.3</v>
      </c>
      <c r="J14" s="40">
        <v>65.2</v>
      </c>
      <c r="K14" s="40">
        <v>66.8</v>
      </c>
      <c r="L14" s="40">
        <v>78.2</v>
      </c>
      <c r="M14" s="40">
        <v>69.3</v>
      </c>
      <c r="N14" s="40">
        <v>69.3</v>
      </c>
      <c r="O14" s="40">
        <v>68.400000000000006</v>
      </c>
      <c r="P14" s="40">
        <v>75.3</v>
      </c>
      <c r="Q14" s="40">
        <v>78.599999999999994</v>
      </c>
      <c r="R14" s="40">
        <v>74.400000000000006</v>
      </c>
      <c r="S14" s="40">
        <v>78.5</v>
      </c>
      <c r="T14" s="40">
        <v>82</v>
      </c>
      <c r="U14" s="40">
        <v>85</v>
      </c>
      <c r="V14" s="40">
        <v>78.599999999999994</v>
      </c>
      <c r="W14" s="40">
        <v>79.7</v>
      </c>
      <c r="X14" s="40">
        <v>72.900000000000006</v>
      </c>
      <c r="Y14" s="40">
        <v>71.8</v>
      </c>
      <c r="Z14" s="40">
        <v>72.400000000000006</v>
      </c>
    </row>
    <row r="15" spans="1:26">
      <c r="A15" s="40">
        <v>12</v>
      </c>
      <c r="B15" s="40">
        <v>85.3</v>
      </c>
      <c r="C15" s="40">
        <v>72.3</v>
      </c>
      <c r="D15" s="40">
        <v>75.8</v>
      </c>
      <c r="E15" s="40">
        <v>83.6</v>
      </c>
      <c r="F15" s="40">
        <v>81.8</v>
      </c>
      <c r="G15" s="40">
        <v>74</v>
      </c>
      <c r="H15" s="40">
        <v>65.8</v>
      </c>
      <c r="I15" s="40">
        <v>86.8</v>
      </c>
      <c r="J15" s="40">
        <v>69</v>
      </c>
      <c r="K15" s="40">
        <v>70.599999999999994</v>
      </c>
      <c r="L15" s="40">
        <v>81.099999999999994</v>
      </c>
      <c r="M15" s="40">
        <v>72.3</v>
      </c>
      <c r="N15" s="70">
        <v>73</v>
      </c>
      <c r="O15" s="40">
        <v>72</v>
      </c>
      <c r="P15" s="40">
        <v>78</v>
      </c>
      <c r="Q15" s="40">
        <v>83</v>
      </c>
      <c r="R15" s="40">
        <v>78</v>
      </c>
      <c r="S15" s="40">
        <v>81.3</v>
      </c>
      <c r="T15" s="40">
        <v>84.9</v>
      </c>
      <c r="U15" s="40">
        <v>87.6</v>
      </c>
      <c r="V15" s="40">
        <v>81.099999999999994</v>
      </c>
      <c r="W15" s="40">
        <v>82.9</v>
      </c>
      <c r="X15" s="40">
        <v>75.900000000000006</v>
      </c>
      <c r="Y15" s="40">
        <v>75</v>
      </c>
      <c r="Z15" s="40">
        <v>75.2</v>
      </c>
    </row>
    <row r="16" spans="1:26">
      <c r="A16" s="40">
        <v>13</v>
      </c>
      <c r="B16" s="40">
        <v>87.8</v>
      </c>
      <c r="C16" s="40">
        <v>75.599999999999994</v>
      </c>
      <c r="D16" s="40">
        <v>78.5</v>
      </c>
      <c r="E16" s="40">
        <v>86.3</v>
      </c>
      <c r="F16" s="40">
        <v>84.1</v>
      </c>
      <c r="G16" s="40">
        <v>77.2</v>
      </c>
      <c r="H16" s="40">
        <v>69.5</v>
      </c>
      <c r="I16" s="40">
        <v>89.2</v>
      </c>
      <c r="J16" s="40">
        <v>72.599999999999994</v>
      </c>
      <c r="K16" s="40">
        <v>74.3</v>
      </c>
      <c r="L16" s="40">
        <v>84</v>
      </c>
      <c r="M16" s="40">
        <v>75.2</v>
      </c>
      <c r="N16" s="40">
        <v>76.3</v>
      </c>
      <c r="O16" s="40">
        <v>75.5</v>
      </c>
      <c r="P16" s="40">
        <v>80.400000000000006</v>
      </c>
      <c r="Q16" s="40">
        <v>86.4</v>
      </c>
      <c r="R16" s="40">
        <v>81.400000000000006</v>
      </c>
      <c r="S16" s="40">
        <v>83.8</v>
      </c>
      <c r="T16" s="40">
        <v>87.6</v>
      </c>
      <c r="U16" s="40">
        <v>90</v>
      </c>
      <c r="V16" s="40">
        <v>83.3</v>
      </c>
      <c r="W16" s="40">
        <v>86</v>
      </c>
      <c r="X16" s="40">
        <v>78.8</v>
      </c>
      <c r="Y16" s="40">
        <v>78</v>
      </c>
      <c r="Z16" s="40">
        <v>77.900000000000006</v>
      </c>
    </row>
    <row r="17" spans="1:26">
      <c r="A17" s="40">
        <v>14</v>
      </c>
      <c r="B17" s="40">
        <v>89.7</v>
      </c>
      <c r="C17" s="40">
        <v>78.8</v>
      </c>
      <c r="D17" s="40">
        <v>81.099999999999994</v>
      </c>
      <c r="E17" s="40">
        <v>88.7</v>
      </c>
      <c r="F17" s="40">
        <v>86.4</v>
      </c>
      <c r="G17" s="40">
        <v>79.900000000000006</v>
      </c>
      <c r="H17" s="40">
        <v>73.099999999999994</v>
      </c>
      <c r="I17" s="40">
        <v>91.4</v>
      </c>
      <c r="J17" s="40">
        <v>76.099999999999994</v>
      </c>
      <c r="K17" s="40">
        <v>78</v>
      </c>
      <c r="L17" s="40">
        <v>86.3</v>
      </c>
      <c r="M17" s="40">
        <v>78</v>
      </c>
      <c r="N17" s="40">
        <v>79.3</v>
      </c>
      <c r="O17" s="40">
        <v>78.900000000000006</v>
      </c>
      <c r="P17" s="40">
        <v>82.8</v>
      </c>
      <c r="Q17" s="40">
        <v>88.8</v>
      </c>
      <c r="R17" s="40">
        <v>84.2</v>
      </c>
      <c r="S17" s="40">
        <v>86.1</v>
      </c>
      <c r="T17" s="40">
        <v>89.7</v>
      </c>
      <c r="U17" s="40">
        <v>92</v>
      </c>
      <c r="V17" s="40">
        <v>85.4</v>
      </c>
      <c r="W17" s="40">
        <v>89</v>
      </c>
      <c r="X17" s="40">
        <v>81.5</v>
      </c>
      <c r="Y17" s="40">
        <v>80.8</v>
      </c>
      <c r="Z17" s="40">
        <v>80.599999999999994</v>
      </c>
    </row>
    <row r="18" spans="1:26">
      <c r="A18" s="40">
        <v>15</v>
      </c>
      <c r="B18" s="40">
        <v>91.4</v>
      </c>
      <c r="C18" s="40">
        <v>81.5</v>
      </c>
      <c r="D18" s="40">
        <v>83.7</v>
      </c>
      <c r="E18" s="40">
        <v>91.1</v>
      </c>
      <c r="F18" s="40">
        <v>88.6</v>
      </c>
      <c r="G18" s="40">
        <v>82.5</v>
      </c>
      <c r="H18" s="40">
        <v>76.599999999999994</v>
      </c>
      <c r="I18" s="40">
        <v>93.3</v>
      </c>
      <c r="J18" s="40">
        <v>79.3</v>
      </c>
      <c r="K18" s="40">
        <v>81.7</v>
      </c>
      <c r="L18" s="40">
        <v>88.2</v>
      </c>
      <c r="M18" s="40">
        <v>80.8</v>
      </c>
      <c r="N18" s="40">
        <v>81.900000000000006</v>
      </c>
      <c r="O18" s="40">
        <v>82.2</v>
      </c>
      <c r="P18" s="40">
        <v>85</v>
      </c>
      <c r="Q18" s="40">
        <v>90.3</v>
      </c>
      <c r="R18" s="40">
        <v>86.8</v>
      </c>
      <c r="S18" s="40">
        <v>88.2</v>
      </c>
      <c r="T18" s="40">
        <v>91.6</v>
      </c>
      <c r="U18" s="40">
        <v>93.9</v>
      </c>
      <c r="V18" s="40">
        <v>87.5</v>
      </c>
      <c r="W18" s="40">
        <v>91.8</v>
      </c>
      <c r="X18" s="40">
        <v>84.1</v>
      </c>
      <c r="Y18" s="40">
        <v>83.4</v>
      </c>
      <c r="Z18" s="40">
        <v>83.3</v>
      </c>
    </row>
    <row r="19" spans="1:26">
      <c r="A19" s="40">
        <v>16</v>
      </c>
      <c r="B19" s="40">
        <v>93</v>
      </c>
      <c r="C19" s="40">
        <v>84.2</v>
      </c>
      <c r="D19" s="40">
        <v>86.2</v>
      </c>
      <c r="E19" s="40">
        <v>93.2</v>
      </c>
      <c r="F19" s="40">
        <v>90.6</v>
      </c>
      <c r="G19" s="40">
        <v>85</v>
      </c>
      <c r="H19" s="40">
        <v>80</v>
      </c>
      <c r="I19" s="40">
        <v>94.3</v>
      </c>
      <c r="J19" s="40">
        <v>82.4</v>
      </c>
      <c r="K19" s="40">
        <v>85.1</v>
      </c>
      <c r="L19" s="40">
        <v>90</v>
      </c>
      <c r="M19" s="40">
        <v>83.5</v>
      </c>
      <c r="N19" s="40">
        <v>84.4</v>
      </c>
      <c r="O19" s="40">
        <v>85.4</v>
      </c>
      <c r="P19" s="40">
        <v>87.1</v>
      </c>
      <c r="Q19" s="40">
        <v>91.2</v>
      </c>
      <c r="R19" s="40">
        <v>89</v>
      </c>
      <c r="S19" s="40">
        <v>90.2</v>
      </c>
      <c r="T19" s="40">
        <v>93.5</v>
      </c>
      <c r="U19" s="40">
        <v>95.7</v>
      </c>
      <c r="V19" s="40">
        <v>89.4</v>
      </c>
      <c r="W19" s="40">
        <v>94.2</v>
      </c>
      <c r="X19" s="40">
        <v>86.2</v>
      </c>
      <c r="Y19" s="40">
        <v>86</v>
      </c>
      <c r="Z19" s="40">
        <v>85.9</v>
      </c>
    </row>
    <row r="20" spans="1:26">
      <c r="A20" s="40">
        <v>17</v>
      </c>
      <c r="B20" s="40">
        <v>94.6</v>
      </c>
      <c r="C20" s="40">
        <v>86.8</v>
      </c>
      <c r="D20" s="40">
        <v>88.5</v>
      </c>
      <c r="E20" s="40">
        <v>94.9</v>
      </c>
      <c r="F20" s="40">
        <v>92.5</v>
      </c>
      <c r="G20" s="40">
        <v>87.4</v>
      </c>
      <c r="H20" s="40">
        <v>83.1</v>
      </c>
      <c r="I20" s="40">
        <v>95.3</v>
      </c>
      <c r="J20" s="40">
        <v>85.2</v>
      </c>
      <c r="K20" s="40">
        <v>88.3</v>
      </c>
      <c r="L20" s="40">
        <v>91.8</v>
      </c>
      <c r="M20" s="40">
        <v>86.2</v>
      </c>
      <c r="N20" s="40">
        <v>86.9</v>
      </c>
      <c r="O20" s="40">
        <v>87.9</v>
      </c>
      <c r="P20" s="40">
        <v>89.1</v>
      </c>
      <c r="Q20" s="40">
        <v>92</v>
      </c>
      <c r="R20" s="40">
        <v>90.8</v>
      </c>
      <c r="S20" s="40">
        <v>92</v>
      </c>
      <c r="T20" s="40">
        <v>95.1</v>
      </c>
      <c r="U20" s="40">
        <v>97</v>
      </c>
      <c r="V20" s="40">
        <v>91.3</v>
      </c>
      <c r="W20" s="40">
        <v>95.5</v>
      </c>
      <c r="X20" s="40">
        <v>88.3</v>
      </c>
      <c r="Y20" s="40">
        <v>88.3</v>
      </c>
      <c r="Z20" s="40">
        <v>88.2</v>
      </c>
    </row>
    <row r="21" spans="1:26">
      <c r="A21" s="40">
        <v>18</v>
      </c>
      <c r="B21" s="40">
        <v>96.2</v>
      </c>
      <c r="C21" s="40">
        <v>89.2</v>
      </c>
      <c r="D21" s="40">
        <v>90.7</v>
      </c>
      <c r="E21" s="40">
        <v>96.5</v>
      </c>
      <c r="F21" s="40">
        <v>94</v>
      </c>
      <c r="G21" s="40">
        <v>89.5</v>
      </c>
      <c r="H21" s="40">
        <v>86.2</v>
      </c>
      <c r="I21" s="40">
        <v>96.3</v>
      </c>
      <c r="J21" s="40">
        <v>87.7</v>
      </c>
      <c r="K21" s="40">
        <v>90.7</v>
      </c>
      <c r="L21" s="40">
        <v>93.6</v>
      </c>
      <c r="M21" s="40">
        <v>88.7</v>
      </c>
      <c r="N21" s="40">
        <v>89.2</v>
      </c>
      <c r="O21" s="40">
        <v>90.2</v>
      </c>
      <c r="P21" s="40">
        <v>91.1</v>
      </c>
      <c r="Q21" s="40">
        <v>93.3</v>
      </c>
      <c r="R21" s="40">
        <v>92.6</v>
      </c>
      <c r="S21" s="40">
        <v>93.7</v>
      </c>
      <c r="T21" s="40">
        <v>96.4</v>
      </c>
      <c r="U21" s="40">
        <v>97.9</v>
      </c>
      <c r="V21" s="40">
        <v>93</v>
      </c>
      <c r="W21" s="40">
        <v>96.8</v>
      </c>
      <c r="X21" s="40">
        <v>90.3</v>
      </c>
      <c r="Y21" s="40">
        <v>90.5</v>
      </c>
      <c r="Z21" s="40">
        <v>90.1</v>
      </c>
    </row>
    <row r="22" spans="1:26">
      <c r="A22" s="40">
        <v>19</v>
      </c>
      <c r="B22" s="40">
        <v>97.3</v>
      </c>
      <c r="C22" s="40">
        <v>91.5</v>
      </c>
      <c r="D22" s="40">
        <v>92.7</v>
      </c>
      <c r="E22" s="40">
        <v>97.9</v>
      </c>
      <c r="F22" s="40">
        <v>95.4</v>
      </c>
      <c r="G22" s="40">
        <v>91.6</v>
      </c>
      <c r="H22" s="40">
        <v>89.2</v>
      </c>
      <c r="I22" s="40">
        <v>97.2</v>
      </c>
      <c r="J22" s="40">
        <v>90.2</v>
      </c>
      <c r="K22" s="40">
        <v>92.7</v>
      </c>
      <c r="L22" s="40">
        <v>95</v>
      </c>
      <c r="M22" s="40">
        <v>91.2</v>
      </c>
      <c r="N22" s="40">
        <v>91.5</v>
      </c>
      <c r="O22" s="40">
        <v>92.4</v>
      </c>
      <c r="P22" s="40">
        <v>92.8</v>
      </c>
      <c r="Q22" s="40">
        <v>95.7</v>
      </c>
      <c r="R22" s="40">
        <v>94.3</v>
      </c>
      <c r="S22" s="40">
        <v>95.2</v>
      </c>
      <c r="T22" s="40">
        <v>97.5</v>
      </c>
      <c r="U22" s="40">
        <v>98.5</v>
      </c>
      <c r="V22" s="40">
        <v>94.6</v>
      </c>
      <c r="W22" s="40">
        <v>98</v>
      </c>
      <c r="X22" s="40">
        <v>92.2</v>
      </c>
      <c r="Y22" s="40">
        <v>92.3</v>
      </c>
      <c r="Z22" s="40">
        <v>91.9</v>
      </c>
    </row>
    <row r="23" spans="1:26">
      <c r="A23" s="40">
        <v>20</v>
      </c>
      <c r="B23" s="40">
        <v>98.1</v>
      </c>
      <c r="C23" s="40">
        <v>93.4</v>
      </c>
      <c r="D23" s="40">
        <v>94.6</v>
      </c>
      <c r="E23" s="40">
        <v>98.7</v>
      </c>
      <c r="F23" s="40">
        <v>96.8</v>
      </c>
      <c r="G23" s="40">
        <v>93.6</v>
      </c>
      <c r="H23" s="40">
        <v>91.9</v>
      </c>
      <c r="I23" s="40">
        <v>97.9</v>
      </c>
      <c r="J23" s="40">
        <v>92.6</v>
      </c>
      <c r="K23" s="40">
        <v>94.5</v>
      </c>
      <c r="L23" s="40">
        <v>96.4</v>
      </c>
      <c r="M23" s="40">
        <v>93.7</v>
      </c>
      <c r="N23" s="40">
        <v>93.7</v>
      </c>
      <c r="O23" s="40">
        <v>94.3</v>
      </c>
      <c r="P23" s="40">
        <v>94.4</v>
      </c>
      <c r="Q23" s="40">
        <v>96.8</v>
      </c>
      <c r="R23" s="40">
        <v>95.8</v>
      </c>
      <c r="S23" s="40">
        <v>96.3</v>
      </c>
      <c r="T23" s="40">
        <v>98.2</v>
      </c>
      <c r="U23" s="40">
        <v>99.1</v>
      </c>
      <c r="V23" s="40">
        <v>95.9</v>
      </c>
      <c r="W23" s="40">
        <v>98.7</v>
      </c>
      <c r="X23" s="40">
        <v>94</v>
      </c>
      <c r="Y23" s="40">
        <v>94</v>
      </c>
      <c r="Z23" s="40">
        <v>93.7</v>
      </c>
    </row>
    <row r="24" spans="1:26">
      <c r="A24" s="40">
        <v>21</v>
      </c>
      <c r="B24" s="40">
        <v>98.9</v>
      </c>
      <c r="C24" s="40">
        <v>95.2</v>
      </c>
      <c r="D24" s="40">
        <v>96.4</v>
      </c>
      <c r="E24" s="40">
        <v>99.1</v>
      </c>
      <c r="F24" s="40">
        <v>98</v>
      </c>
      <c r="G24" s="40">
        <v>95.6</v>
      </c>
      <c r="H24" s="40">
        <v>94.4</v>
      </c>
      <c r="I24" s="40">
        <v>98.5</v>
      </c>
      <c r="J24" s="40">
        <v>94.6</v>
      </c>
      <c r="K24" s="40">
        <v>96.1</v>
      </c>
      <c r="L24" s="40">
        <v>97.7</v>
      </c>
      <c r="M24" s="40">
        <v>95.7</v>
      </c>
      <c r="N24" s="40">
        <v>95.5</v>
      </c>
      <c r="O24" s="40">
        <v>96.2</v>
      </c>
      <c r="P24" s="40">
        <v>96</v>
      </c>
      <c r="Q24" s="40">
        <v>98.5</v>
      </c>
      <c r="R24" s="40">
        <v>97.1</v>
      </c>
      <c r="S24" s="40">
        <v>97.4</v>
      </c>
      <c r="T24" s="40">
        <v>98.7</v>
      </c>
      <c r="U24" s="40">
        <v>99.5</v>
      </c>
      <c r="V24" s="40">
        <v>97.2</v>
      </c>
      <c r="W24" s="40">
        <v>99.4</v>
      </c>
      <c r="X24" s="40">
        <v>95.7</v>
      </c>
      <c r="Y24" s="40">
        <v>95.6</v>
      </c>
      <c r="Z24" s="40">
        <v>95.4</v>
      </c>
    </row>
    <row r="25" spans="1:26">
      <c r="A25" s="40">
        <v>22</v>
      </c>
      <c r="B25" s="40">
        <v>99.6</v>
      </c>
      <c r="C25" s="40">
        <v>97</v>
      </c>
      <c r="D25" s="40">
        <v>98</v>
      </c>
      <c r="E25" s="40">
        <v>99.5</v>
      </c>
      <c r="F25" s="40">
        <v>99.1</v>
      </c>
      <c r="G25" s="40">
        <v>97.3</v>
      </c>
      <c r="H25" s="40">
        <v>96.8</v>
      </c>
      <c r="I25" s="40">
        <v>99.1</v>
      </c>
      <c r="J25" s="40">
        <v>96.5</v>
      </c>
      <c r="K25" s="40">
        <v>97.6</v>
      </c>
      <c r="L25" s="40">
        <v>98.5</v>
      </c>
      <c r="M25" s="40">
        <v>97.5</v>
      </c>
      <c r="N25" s="40">
        <v>97.3</v>
      </c>
      <c r="O25" s="40">
        <v>97.7</v>
      </c>
      <c r="P25" s="40">
        <v>97.6</v>
      </c>
      <c r="Q25" s="40">
        <v>99.6</v>
      </c>
      <c r="R25" s="40">
        <v>98.4</v>
      </c>
      <c r="S25" s="40">
        <v>98.4</v>
      </c>
      <c r="T25" s="40">
        <v>99.2</v>
      </c>
      <c r="U25" s="40">
        <v>99.8</v>
      </c>
      <c r="V25" s="40">
        <v>98.4</v>
      </c>
      <c r="W25" s="40">
        <v>99.7</v>
      </c>
      <c r="X25" s="40">
        <v>97.3</v>
      </c>
      <c r="Y25" s="40">
        <v>97.2</v>
      </c>
      <c r="Z25" s="40">
        <v>97</v>
      </c>
    </row>
    <row r="26" spans="1:26">
      <c r="A26" s="40">
        <v>23</v>
      </c>
      <c r="B26" s="40">
        <v>99.9</v>
      </c>
      <c r="C26" s="40">
        <v>98.7</v>
      </c>
      <c r="D26" s="40">
        <v>99.3</v>
      </c>
      <c r="E26" s="40">
        <v>99.9</v>
      </c>
      <c r="F26" s="40">
        <v>99.6</v>
      </c>
      <c r="G26" s="40">
        <v>98.7</v>
      </c>
      <c r="H26" s="40">
        <v>98.7</v>
      </c>
      <c r="I26" s="40">
        <v>99.6</v>
      </c>
      <c r="J26" s="40">
        <v>98.3</v>
      </c>
      <c r="K26" s="40">
        <v>98.9</v>
      </c>
      <c r="L26" s="40">
        <v>99.3</v>
      </c>
      <c r="M26" s="40">
        <v>99.2</v>
      </c>
      <c r="N26" s="40">
        <v>98.9</v>
      </c>
      <c r="O26" s="40">
        <v>99.1</v>
      </c>
      <c r="P26" s="40">
        <v>99</v>
      </c>
      <c r="Q26" s="40">
        <v>99.8</v>
      </c>
      <c r="R26" s="40">
        <v>99.5</v>
      </c>
      <c r="S26" s="40">
        <v>99.2</v>
      </c>
      <c r="T26" s="40">
        <v>99.6</v>
      </c>
      <c r="U26" s="40">
        <v>99.9</v>
      </c>
      <c r="V26" s="40">
        <v>99.2</v>
      </c>
      <c r="W26" s="40">
        <v>99.9</v>
      </c>
      <c r="X26" s="40">
        <v>98.8</v>
      </c>
      <c r="Y26" s="40">
        <v>98.6</v>
      </c>
      <c r="Z26" s="40">
        <v>98.6</v>
      </c>
    </row>
    <row r="27" spans="1:26">
      <c r="A27" s="40">
        <v>24</v>
      </c>
      <c r="B27" s="40">
        <v>100</v>
      </c>
      <c r="C27" s="40">
        <v>100</v>
      </c>
      <c r="D27" s="40">
        <v>100</v>
      </c>
      <c r="E27" s="40">
        <v>100</v>
      </c>
      <c r="F27" s="40">
        <v>100</v>
      </c>
      <c r="G27" s="40">
        <v>100</v>
      </c>
      <c r="H27" s="40">
        <v>100</v>
      </c>
      <c r="I27" s="40">
        <v>100</v>
      </c>
      <c r="J27" s="40">
        <v>100</v>
      </c>
      <c r="K27" s="40">
        <v>100</v>
      </c>
      <c r="L27" s="40">
        <v>100</v>
      </c>
      <c r="M27" s="40">
        <v>100</v>
      </c>
      <c r="N27" s="40">
        <v>100</v>
      </c>
      <c r="O27" s="40">
        <v>100</v>
      </c>
      <c r="P27" s="40">
        <v>100</v>
      </c>
      <c r="Q27" s="40">
        <v>100</v>
      </c>
      <c r="R27" s="40">
        <v>100</v>
      </c>
      <c r="S27" s="40">
        <v>100</v>
      </c>
      <c r="T27" s="40">
        <v>100</v>
      </c>
      <c r="U27" s="40">
        <v>100</v>
      </c>
      <c r="V27" s="40">
        <v>100</v>
      </c>
      <c r="W27" s="40">
        <v>100</v>
      </c>
      <c r="X27" s="40">
        <v>100</v>
      </c>
      <c r="Y27" s="40">
        <v>100</v>
      </c>
      <c r="Z27" s="40">
        <v>100</v>
      </c>
    </row>
    <row r="30" spans="1:26" s="48" customFormat="1" ht="36.6" customHeight="1">
      <c r="A30" s="166" t="s">
        <v>122</v>
      </c>
      <c r="B30" s="168" t="s">
        <v>165</v>
      </c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/>
      <c r="X30" s="49" t="s">
        <v>132</v>
      </c>
    </row>
    <row r="31" spans="1:26" ht="30.6" customHeight="1">
      <c r="A31" s="167"/>
      <c r="B31" s="49">
        <v>323</v>
      </c>
      <c r="C31" s="49">
        <v>324</v>
      </c>
      <c r="D31" s="49">
        <v>325</v>
      </c>
      <c r="E31" s="49" t="s">
        <v>123</v>
      </c>
      <c r="F31" s="49" t="s">
        <v>124</v>
      </c>
      <c r="G31" s="49">
        <v>402</v>
      </c>
      <c r="H31" s="49" t="s">
        <v>125</v>
      </c>
      <c r="I31" s="49" t="s">
        <v>126</v>
      </c>
      <c r="J31" s="49">
        <v>404</v>
      </c>
      <c r="K31" s="49">
        <v>405</v>
      </c>
      <c r="L31" s="49">
        <v>406</v>
      </c>
      <c r="M31" s="49">
        <v>407</v>
      </c>
      <c r="N31" s="49" t="s">
        <v>127</v>
      </c>
      <c r="O31" s="49" t="s">
        <v>128</v>
      </c>
      <c r="P31" s="49" t="s">
        <v>129</v>
      </c>
      <c r="Q31" s="49">
        <v>409</v>
      </c>
      <c r="R31" s="49">
        <v>411</v>
      </c>
      <c r="S31" s="49">
        <v>413</v>
      </c>
      <c r="T31" s="49">
        <v>414</v>
      </c>
      <c r="U31" s="49">
        <v>415</v>
      </c>
      <c r="V31" s="49">
        <v>417</v>
      </c>
      <c r="W31" s="49">
        <v>418</v>
      </c>
      <c r="X31" s="67" t="s">
        <v>166</v>
      </c>
      <c r="Y31" s="48"/>
    </row>
    <row r="32" spans="1:26">
      <c r="A32" s="40">
        <v>1</v>
      </c>
      <c r="B32" s="40">
        <v>17.3</v>
      </c>
      <c r="C32" s="40">
        <v>10.3</v>
      </c>
      <c r="D32" s="40">
        <v>11.7</v>
      </c>
      <c r="E32" s="40">
        <v>11.8</v>
      </c>
      <c r="F32" s="40">
        <v>12.1</v>
      </c>
      <c r="G32" s="40">
        <v>13.5</v>
      </c>
      <c r="H32" s="40">
        <v>15.1</v>
      </c>
      <c r="I32" s="40">
        <v>14.1</v>
      </c>
      <c r="J32" s="40">
        <v>8.8000000000000007</v>
      </c>
      <c r="K32" s="40">
        <v>16.5</v>
      </c>
      <c r="L32" s="40">
        <v>15.5</v>
      </c>
      <c r="M32" s="40">
        <v>13.3</v>
      </c>
      <c r="N32" s="40">
        <v>10.7</v>
      </c>
      <c r="O32" s="40">
        <v>12.7</v>
      </c>
      <c r="P32" s="40">
        <v>11.6</v>
      </c>
      <c r="Q32" s="40">
        <v>13.5</v>
      </c>
      <c r="R32" s="40">
        <v>15</v>
      </c>
      <c r="S32" s="40">
        <v>21.6</v>
      </c>
      <c r="T32" s="40">
        <v>14.2</v>
      </c>
      <c r="U32" s="40">
        <v>11.3</v>
      </c>
      <c r="V32" s="40">
        <v>8.5</v>
      </c>
      <c r="W32" s="40">
        <v>12.8</v>
      </c>
      <c r="X32" s="40">
        <v>13</v>
      </c>
      <c r="Y32" s="48"/>
    </row>
    <row r="33" spans="1:26">
      <c r="A33" s="40">
        <v>3</v>
      </c>
      <c r="B33" s="40">
        <v>40.1</v>
      </c>
      <c r="C33" s="40">
        <v>22.3</v>
      </c>
      <c r="D33" s="40">
        <v>26.2</v>
      </c>
      <c r="E33" s="40">
        <v>24.2</v>
      </c>
      <c r="F33" s="40">
        <v>26.3</v>
      </c>
      <c r="G33" s="40">
        <v>28.6</v>
      </c>
      <c r="H33" s="40">
        <v>29.8</v>
      </c>
      <c r="I33" s="40">
        <v>26.4</v>
      </c>
      <c r="J33" s="40">
        <v>21.3</v>
      </c>
      <c r="K33" s="40">
        <v>27.9</v>
      </c>
      <c r="L33" s="40">
        <v>31.4</v>
      </c>
      <c r="M33" s="40">
        <v>26.1</v>
      </c>
      <c r="N33" s="40">
        <v>22.3</v>
      </c>
      <c r="O33" s="40">
        <v>30.3</v>
      </c>
      <c r="P33" s="40">
        <v>23.9</v>
      </c>
      <c r="Q33" s="40">
        <v>27.9</v>
      </c>
      <c r="R33" s="40">
        <v>25.3</v>
      </c>
      <c r="S33" s="40">
        <v>39.5</v>
      </c>
      <c r="T33" s="40">
        <v>28.1</v>
      </c>
      <c r="U33" s="40">
        <v>26.8</v>
      </c>
      <c r="V33" s="40">
        <v>18</v>
      </c>
      <c r="W33" s="40">
        <v>26.2</v>
      </c>
      <c r="X33" s="40">
        <v>25.7</v>
      </c>
      <c r="Y33" s="48"/>
    </row>
    <row r="34" spans="1:26">
      <c r="A34" s="40">
        <v>6</v>
      </c>
      <c r="B34" s="40">
        <v>50.2</v>
      </c>
      <c r="C34" s="40">
        <v>34.1</v>
      </c>
      <c r="D34" s="40">
        <v>39.6</v>
      </c>
      <c r="E34" s="40">
        <v>36.4</v>
      </c>
      <c r="F34" s="40">
        <v>38.799999999999997</v>
      </c>
      <c r="G34" s="40">
        <v>40.4</v>
      </c>
      <c r="H34" s="40">
        <v>39.5</v>
      </c>
      <c r="I34" s="40">
        <v>35.6</v>
      </c>
      <c r="J34" s="40">
        <v>32.799999999999997</v>
      </c>
      <c r="K34" s="40">
        <v>38.1</v>
      </c>
      <c r="L34" s="40">
        <v>44.4</v>
      </c>
      <c r="M34" s="40">
        <v>38.700000000000003</v>
      </c>
      <c r="N34" s="40">
        <v>33</v>
      </c>
      <c r="O34" s="40">
        <v>44.7</v>
      </c>
      <c r="P34" s="40">
        <v>32.5</v>
      </c>
      <c r="Q34" s="40">
        <v>38.4</v>
      </c>
      <c r="R34" s="40">
        <v>34</v>
      </c>
      <c r="S34" s="40">
        <v>55.1</v>
      </c>
      <c r="T34" s="40">
        <v>39.4</v>
      </c>
      <c r="U34" s="40">
        <v>40.200000000000003</v>
      </c>
      <c r="V34" s="40">
        <v>26.1</v>
      </c>
      <c r="W34" s="40">
        <v>34.6</v>
      </c>
      <c r="X34" s="40">
        <v>37.5</v>
      </c>
      <c r="Y34" s="48"/>
    </row>
    <row r="35" spans="1:26">
      <c r="A35" s="40">
        <v>9</v>
      </c>
      <c r="B35" s="40">
        <v>56.7</v>
      </c>
      <c r="C35" s="40">
        <v>45.9</v>
      </c>
      <c r="D35" s="40">
        <v>49.2</v>
      </c>
      <c r="E35" s="40">
        <v>47.1</v>
      </c>
      <c r="F35" s="40">
        <v>47.2</v>
      </c>
      <c r="G35" s="40">
        <v>52.1</v>
      </c>
      <c r="H35" s="40">
        <v>47.7</v>
      </c>
      <c r="I35" s="40">
        <v>42.9</v>
      </c>
      <c r="J35" s="40">
        <v>42.6</v>
      </c>
      <c r="K35" s="40">
        <v>48.3</v>
      </c>
      <c r="L35" s="40">
        <v>55</v>
      </c>
      <c r="M35" s="40">
        <v>47.2</v>
      </c>
      <c r="N35" s="40">
        <v>43.2</v>
      </c>
      <c r="O35" s="40">
        <v>52.4</v>
      </c>
      <c r="P35" s="40">
        <v>40.4</v>
      </c>
      <c r="Q35" s="40">
        <v>47.6</v>
      </c>
      <c r="R35" s="40">
        <v>42.4</v>
      </c>
      <c r="S35" s="40">
        <v>63.5</v>
      </c>
      <c r="T35" s="40">
        <v>49.8</v>
      </c>
      <c r="U35" s="40">
        <v>53.4</v>
      </c>
      <c r="V35" s="40">
        <v>33.9</v>
      </c>
      <c r="W35" s="40">
        <v>42.6</v>
      </c>
      <c r="X35" s="40">
        <v>47.3</v>
      </c>
      <c r="Y35" s="48"/>
    </row>
    <row r="36" spans="1:26">
      <c r="A36" s="40">
        <v>12</v>
      </c>
      <c r="B36" s="40">
        <v>62.6</v>
      </c>
      <c r="C36" s="40">
        <v>56.6</v>
      </c>
      <c r="D36" s="40">
        <v>55.3</v>
      </c>
      <c r="E36" s="40">
        <v>57.2</v>
      </c>
      <c r="F36" s="40">
        <v>55.5</v>
      </c>
      <c r="G36" s="40">
        <v>60.2</v>
      </c>
      <c r="H36" s="40">
        <v>55.9</v>
      </c>
      <c r="I36" s="40">
        <v>49.9</v>
      </c>
      <c r="J36" s="40">
        <v>52</v>
      </c>
      <c r="K36" s="40">
        <v>55.5</v>
      </c>
      <c r="L36" s="40">
        <v>65.2</v>
      </c>
      <c r="M36" s="40">
        <v>55</v>
      </c>
      <c r="N36" s="70">
        <v>50.9</v>
      </c>
      <c r="O36" s="40">
        <v>59.3</v>
      </c>
      <c r="P36" s="40">
        <v>48.2</v>
      </c>
      <c r="Q36" s="40">
        <v>56.2</v>
      </c>
      <c r="R36" s="40">
        <v>50.5</v>
      </c>
      <c r="S36" s="40">
        <v>69.5</v>
      </c>
      <c r="T36" s="40">
        <v>58</v>
      </c>
      <c r="U36" s="40">
        <v>63.3</v>
      </c>
      <c r="V36" s="40">
        <v>41.6</v>
      </c>
      <c r="W36" s="40">
        <v>49.6</v>
      </c>
      <c r="X36" s="40">
        <v>54.4</v>
      </c>
      <c r="Y36" s="48"/>
    </row>
    <row r="37" spans="1:26">
      <c r="A37" s="40">
        <v>15</v>
      </c>
      <c r="B37" s="40">
        <v>67</v>
      </c>
      <c r="C37" s="40">
        <v>65</v>
      </c>
      <c r="D37" s="40">
        <v>61.3</v>
      </c>
      <c r="E37" s="40">
        <v>64.400000000000006</v>
      </c>
      <c r="F37" s="40">
        <v>61.4</v>
      </c>
      <c r="G37" s="40">
        <v>66.5</v>
      </c>
      <c r="H37" s="40">
        <v>63.6</v>
      </c>
      <c r="I37" s="40">
        <v>56.6</v>
      </c>
      <c r="J37" s="40">
        <v>59.8</v>
      </c>
      <c r="K37" s="40">
        <v>60.4</v>
      </c>
      <c r="L37" s="40">
        <v>72.3</v>
      </c>
      <c r="M37" s="40">
        <v>61.9</v>
      </c>
      <c r="N37" s="40">
        <v>58.4</v>
      </c>
      <c r="O37" s="40">
        <v>65.900000000000006</v>
      </c>
      <c r="P37" s="40">
        <v>55.8</v>
      </c>
      <c r="Q37" s="40">
        <v>62.4</v>
      </c>
      <c r="R37" s="40">
        <v>58.3</v>
      </c>
      <c r="S37" s="40">
        <v>74.7</v>
      </c>
      <c r="T37" s="40">
        <v>65.400000000000006</v>
      </c>
      <c r="U37" s="40">
        <v>68.400000000000006</v>
      </c>
      <c r="V37" s="40">
        <v>49</v>
      </c>
      <c r="W37" s="40">
        <v>56.5</v>
      </c>
      <c r="X37" s="40">
        <v>60.6</v>
      </c>
      <c r="Y37" s="48"/>
    </row>
    <row r="38" spans="1:26">
      <c r="A38" s="40">
        <v>18</v>
      </c>
      <c r="B38" s="40">
        <v>71.3</v>
      </c>
      <c r="C38" s="40">
        <v>69.400000000000006</v>
      </c>
      <c r="D38" s="40">
        <v>66.8</v>
      </c>
      <c r="E38" s="40">
        <v>70.400000000000006</v>
      </c>
      <c r="F38" s="40">
        <v>67.3</v>
      </c>
      <c r="G38" s="40">
        <v>71.900000000000006</v>
      </c>
      <c r="H38" s="40">
        <v>70</v>
      </c>
      <c r="I38" s="40">
        <v>63.1</v>
      </c>
      <c r="J38" s="40">
        <v>66.5</v>
      </c>
      <c r="K38" s="40">
        <v>64.8</v>
      </c>
      <c r="L38" s="40">
        <v>79.400000000000006</v>
      </c>
      <c r="M38" s="40">
        <v>67.900000000000006</v>
      </c>
      <c r="N38" s="40">
        <v>65.5</v>
      </c>
      <c r="O38" s="40">
        <v>71.7</v>
      </c>
      <c r="P38" s="40">
        <v>63.1</v>
      </c>
      <c r="Q38" s="40">
        <v>68.5</v>
      </c>
      <c r="R38" s="40">
        <v>65.400000000000006</v>
      </c>
      <c r="S38" s="40">
        <v>79.7</v>
      </c>
      <c r="T38" s="40">
        <v>71</v>
      </c>
      <c r="U38" s="40">
        <v>73</v>
      </c>
      <c r="V38" s="40">
        <v>56.3</v>
      </c>
      <c r="W38" s="40">
        <v>63</v>
      </c>
      <c r="X38" s="40">
        <v>66.2</v>
      </c>
      <c r="Y38" s="48"/>
    </row>
    <row r="39" spans="1:26">
      <c r="A39" s="40">
        <v>21</v>
      </c>
      <c r="B39" s="40">
        <v>75.400000000000006</v>
      </c>
      <c r="C39" s="40">
        <v>73.7</v>
      </c>
      <c r="D39" s="40">
        <v>72.3</v>
      </c>
      <c r="E39" s="40">
        <v>75.3</v>
      </c>
      <c r="F39" s="40">
        <v>72.8</v>
      </c>
      <c r="G39" s="40">
        <v>77.099999999999994</v>
      </c>
      <c r="H39" s="40">
        <v>74.400000000000006</v>
      </c>
      <c r="I39" s="40">
        <v>69.400000000000006</v>
      </c>
      <c r="J39" s="40">
        <v>72.099999999999994</v>
      </c>
      <c r="K39" s="40">
        <v>69.099999999999994</v>
      </c>
      <c r="L39" s="40">
        <v>83.8</v>
      </c>
      <c r="M39" s="40">
        <v>73.400000000000006</v>
      </c>
      <c r="N39" s="40">
        <v>71.7</v>
      </c>
      <c r="O39" s="40">
        <v>75.8</v>
      </c>
      <c r="P39" s="40">
        <v>69.5</v>
      </c>
      <c r="Q39" s="40">
        <v>73.5</v>
      </c>
      <c r="R39" s="40">
        <v>72.400000000000006</v>
      </c>
      <c r="S39" s="40">
        <v>84.4</v>
      </c>
      <c r="T39" s="40">
        <v>76.5</v>
      </c>
      <c r="U39" s="40">
        <v>77.5</v>
      </c>
      <c r="V39" s="40">
        <v>63.5</v>
      </c>
      <c r="W39" s="40">
        <v>68.400000000000006</v>
      </c>
      <c r="X39" s="40">
        <v>71.3</v>
      </c>
      <c r="Y39" s="48"/>
      <c r="Z39" s="72"/>
    </row>
    <row r="40" spans="1:26">
      <c r="A40" s="40">
        <v>24</v>
      </c>
      <c r="B40" s="40">
        <v>79.400000000000006</v>
      </c>
      <c r="C40" s="40">
        <v>77.900000000000006</v>
      </c>
      <c r="D40" s="40">
        <v>76.400000000000006</v>
      </c>
      <c r="E40" s="40">
        <v>79.7</v>
      </c>
      <c r="F40" s="40">
        <v>78.2</v>
      </c>
      <c r="G40" s="40">
        <v>82.1</v>
      </c>
      <c r="H40" s="40">
        <v>78.5</v>
      </c>
      <c r="I40" s="40">
        <v>75.7</v>
      </c>
      <c r="J40" s="40">
        <v>77</v>
      </c>
      <c r="K40" s="40">
        <v>73.400000000000006</v>
      </c>
      <c r="L40" s="40">
        <v>87.4</v>
      </c>
      <c r="M40" s="40">
        <v>78.5</v>
      </c>
      <c r="N40" s="70">
        <v>77.8</v>
      </c>
      <c r="O40" s="40">
        <v>79.900000000000006</v>
      </c>
      <c r="P40" s="40">
        <v>74.900000000000006</v>
      </c>
      <c r="Q40" s="40">
        <v>78</v>
      </c>
      <c r="R40" s="40">
        <v>78.099999999999994</v>
      </c>
      <c r="S40" s="40">
        <v>88.2</v>
      </c>
      <c r="T40" s="40">
        <v>81.599999999999994</v>
      </c>
      <c r="U40" s="40">
        <v>81.7</v>
      </c>
      <c r="V40" s="40">
        <v>70.3</v>
      </c>
      <c r="W40" s="40">
        <v>73.7</v>
      </c>
      <c r="X40" s="40">
        <v>76.099999999999994</v>
      </c>
      <c r="Y40" s="48"/>
    </row>
    <row r="41" spans="1:26">
      <c r="A41" s="40">
        <v>27</v>
      </c>
      <c r="B41" s="40">
        <v>83.4</v>
      </c>
      <c r="C41" s="40">
        <v>81.599999999999994</v>
      </c>
      <c r="D41" s="40">
        <v>80.2</v>
      </c>
      <c r="E41" s="40">
        <v>83.5</v>
      </c>
      <c r="F41" s="40">
        <v>83.4</v>
      </c>
      <c r="G41" s="40">
        <v>86.6</v>
      </c>
      <c r="H41" s="40">
        <v>82.2</v>
      </c>
      <c r="I41" s="40">
        <v>81.8</v>
      </c>
      <c r="J41" s="40">
        <v>81.8</v>
      </c>
      <c r="K41" s="40">
        <v>77.5</v>
      </c>
      <c r="L41" s="40">
        <v>90.6</v>
      </c>
      <c r="M41" s="40">
        <v>83.2</v>
      </c>
      <c r="N41" s="40">
        <v>83.2</v>
      </c>
      <c r="O41" s="40">
        <v>83.7</v>
      </c>
      <c r="P41" s="40">
        <v>79.900000000000006</v>
      </c>
      <c r="Q41" s="40">
        <v>82.2</v>
      </c>
      <c r="R41" s="40">
        <v>82.4</v>
      </c>
      <c r="S41" s="40">
        <v>91.1</v>
      </c>
      <c r="T41" s="40">
        <v>86.6</v>
      </c>
      <c r="U41" s="40">
        <v>85.9</v>
      </c>
      <c r="V41" s="40">
        <v>76.400000000000006</v>
      </c>
      <c r="W41" s="40">
        <v>78.400000000000006</v>
      </c>
      <c r="X41" s="40">
        <v>80.400000000000006</v>
      </c>
      <c r="Y41" s="48"/>
    </row>
    <row r="42" spans="1:26">
      <c r="A42" s="40">
        <v>30</v>
      </c>
      <c r="B42" s="40">
        <v>87.1</v>
      </c>
      <c r="C42" s="40">
        <v>84.9</v>
      </c>
      <c r="D42" s="40">
        <v>83.9</v>
      </c>
      <c r="E42" s="40">
        <v>86.9</v>
      </c>
      <c r="F42" s="40">
        <v>87.3</v>
      </c>
      <c r="G42" s="40">
        <v>90.9</v>
      </c>
      <c r="H42" s="40">
        <v>85.9</v>
      </c>
      <c r="I42" s="40">
        <v>85.9</v>
      </c>
      <c r="J42" s="40">
        <v>86.5</v>
      </c>
      <c r="K42" s="40">
        <v>81.3</v>
      </c>
      <c r="L42" s="40">
        <v>93.8</v>
      </c>
      <c r="M42" s="40">
        <v>87.9</v>
      </c>
      <c r="N42" s="40">
        <v>87.4</v>
      </c>
      <c r="O42" s="40">
        <v>87</v>
      </c>
      <c r="P42" s="40">
        <v>84.8</v>
      </c>
      <c r="Q42" s="40">
        <v>86.2</v>
      </c>
      <c r="R42" s="40">
        <v>86</v>
      </c>
      <c r="S42" s="40">
        <v>93.7</v>
      </c>
      <c r="T42" s="40">
        <v>90.4</v>
      </c>
      <c r="U42" s="40">
        <v>89.5</v>
      </c>
      <c r="V42" s="40">
        <v>82.2</v>
      </c>
      <c r="W42" s="40">
        <v>82.5</v>
      </c>
      <c r="X42" s="40">
        <v>84</v>
      </c>
      <c r="Y42" s="48"/>
    </row>
    <row r="43" spans="1:26">
      <c r="A43" s="40">
        <v>33</v>
      </c>
      <c r="B43" s="40">
        <v>90.4</v>
      </c>
      <c r="C43" s="40">
        <v>88</v>
      </c>
      <c r="D43" s="40">
        <v>87.2</v>
      </c>
      <c r="E43" s="40">
        <v>90</v>
      </c>
      <c r="F43" s="40">
        <v>90.8</v>
      </c>
      <c r="G43" s="40">
        <v>94.4</v>
      </c>
      <c r="H43" s="40">
        <v>89.5</v>
      </c>
      <c r="I43" s="40">
        <v>89.7</v>
      </c>
      <c r="J43" s="40">
        <v>90.1</v>
      </c>
      <c r="K43" s="40">
        <v>85.1</v>
      </c>
      <c r="L43" s="40">
        <v>96.2</v>
      </c>
      <c r="M43" s="40">
        <v>91.8</v>
      </c>
      <c r="N43" s="40">
        <v>91.3</v>
      </c>
      <c r="O43" s="40">
        <v>89.6</v>
      </c>
      <c r="P43" s="40">
        <v>88.9</v>
      </c>
      <c r="Q43" s="40">
        <v>89.1</v>
      </c>
      <c r="R43" s="40">
        <v>89.3</v>
      </c>
      <c r="S43" s="40">
        <v>96</v>
      </c>
      <c r="T43" s="40">
        <v>93</v>
      </c>
      <c r="U43" s="40">
        <v>92.1</v>
      </c>
      <c r="V43" s="40">
        <v>87.4</v>
      </c>
      <c r="W43" s="40">
        <v>86.1</v>
      </c>
      <c r="X43" s="40">
        <v>87.2</v>
      </c>
      <c r="Y43" s="48"/>
    </row>
    <row r="44" spans="1:26">
      <c r="A44" s="40">
        <v>36</v>
      </c>
      <c r="B44" s="40">
        <v>93.1</v>
      </c>
      <c r="C44" s="40">
        <v>90.8</v>
      </c>
      <c r="D44" s="40">
        <v>90.3</v>
      </c>
      <c r="E44" s="40">
        <v>93</v>
      </c>
      <c r="F44" s="40">
        <v>93.3</v>
      </c>
      <c r="G44" s="40">
        <v>96.6</v>
      </c>
      <c r="H44" s="40">
        <v>92.9</v>
      </c>
      <c r="I44" s="40">
        <v>92.4</v>
      </c>
      <c r="J44" s="40">
        <v>93</v>
      </c>
      <c r="K44" s="40">
        <v>88.7</v>
      </c>
      <c r="L44" s="40">
        <v>98</v>
      </c>
      <c r="M44" s="40">
        <v>93.9</v>
      </c>
      <c r="N44" s="70">
        <v>94.5</v>
      </c>
      <c r="O44" s="40">
        <v>92</v>
      </c>
      <c r="P44" s="40">
        <v>92</v>
      </c>
      <c r="Q44" s="40">
        <v>91.6</v>
      </c>
      <c r="R44" s="40">
        <v>92.5</v>
      </c>
      <c r="S44" s="40">
        <v>97.8</v>
      </c>
      <c r="T44" s="40">
        <v>95.2</v>
      </c>
      <c r="U44" s="40">
        <v>94.6</v>
      </c>
      <c r="V44" s="40">
        <v>92.6</v>
      </c>
      <c r="W44" s="40">
        <v>89.4</v>
      </c>
      <c r="X44" s="40">
        <v>90.2</v>
      </c>
      <c r="Y44" s="48"/>
    </row>
    <row r="45" spans="1:26">
      <c r="A45" s="40">
        <v>39</v>
      </c>
      <c r="B45" s="40">
        <v>95.8</v>
      </c>
      <c r="C45" s="40">
        <v>93.5</v>
      </c>
      <c r="D45" s="40">
        <v>93.4</v>
      </c>
      <c r="E45" s="40">
        <v>95.6</v>
      </c>
      <c r="F45" s="40">
        <v>95.7</v>
      </c>
      <c r="G45" s="40">
        <v>97.9</v>
      </c>
      <c r="H45" s="40">
        <v>96.2</v>
      </c>
      <c r="I45" s="40">
        <v>95</v>
      </c>
      <c r="J45" s="40">
        <v>95.8</v>
      </c>
      <c r="K45" s="40">
        <v>92.2</v>
      </c>
      <c r="L45" s="40">
        <v>99.5</v>
      </c>
      <c r="M45" s="40">
        <v>95.9</v>
      </c>
      <c r="N45" s="40">
        <v>96.4</v>
      </c>
      <c r="O45" s="40">
        <v>94.4</v>
      </c>
      <c r="P45" s="40">
        <v>95</v>
      </c>
      <c r="Q45" s="40">
        <v>94</v>
      </c>
      <c r="R45" s="40">
        <v>95.1</v>
      </c>
      <c r="S45" s="40">
        <v>98.6</v>
      </c>
      <c r="T45" s="40">
        <v>97.3</v>
      </c>
      <c r="U45" s="40">
        <v>96.6</v>
      </c>
      <c r="V45" s="40">
        <v>96.6</v>
      </c>
      <c r="W45" s="40">
        <v>92.4</v>
      </c>
      <c r="X45" s="40">
        <v>92.9</v>
      </c>
      <c r="Y45" s="48"/>
    </row>
    <row r="46" spans="1:26">
      <c r="A46" s="40">
        <v>42</v>
      </c>
      <c r="B46" s="40">
        <v>97.4</v>
      </c>
      <c r="C46" s="40">
        <v>96.2</v>
      </c>
      <c r="D46" s="40">
        <v>96</v>
      </c>
      <c r="E46" s="40">
        <v>98.2</v>
      </c>
      <c r="F46" s="40">
        <v>97.4</v>
      </c>
      <c r="G46" s="40">
        <v>98.9</v>
      </c>
      <c r="H46" s="40">
        <v>97.7</v>
      </c>
      <c r="I46" s="40">
        <v>97.2</v>
      </c>
      <c r="J46" s="40">
        <v>98</v>
      </c>
      <c r="K46" s="40">
        <v>95.7</v>
      </c>
      <c r="L46" s="40">
        <v>99.8</v>
      </c>
      <c r="M46" s="40">
        <v>97.8</v>
      </c>
      <c r="N46" s="40">
        <v>97.8</v>
      </c>
      <c r="O46" s="40">
        <v>96.6</v>
      </c>
      <c r="P46" s="40">
        <v>97.2</v>
      </c>
      <c r="Q46" s="40">
        <v>96.2</v>
      </c>
      <c r="R46" s="40">
        <v>97.2</v>
      </c>
      <c r="S46" s="40">
        <v>99.4</v>
      </c>
      <c r="T46" s="40">
        <v>98.5</v>
      </c>
      <c r="U46" s="40">
        <v>97.9</v>
      </c>
      <c r="V46" s="40">
        <v>99.1</v>
      </c>
      <c r="W46" s="40">
        <v>95.4</v>
      </c>
      <c r="X46" s="40">
        <v>95.4</v>
      </c>
      <c r="Y46" s="48"/>
    </row>
    <row r="47" spans="1:26">
      <c r="A47" s="40">
        <v>45</v>
      </c>
      <c r="B47" s="40">
        <v>98.9</v>
      </c>
      <c r="C47" s="40">
        <v>98.5</v>
      </c>
      <c r="D47" s="40">
        <v>98.6</v>
      </c>
      <c r="E47" s="40">
        <v>99.4</v>
      </c>
      <c r="F47" s="40">
        <v>98.7</v>
      </c>
      <c r="G47" s="40">
        <v>99.5</v>
      </c>
      <c r="H47" s="40">
        <v>99</v>
      </c>
      <c r="I47" s="40">
        <v>99.3</v>
      </c>
      <c r="J47" s="40">
        <v>99.1</v>
      </c>
      <c r="K47" s="40">
        <v>98.7</v>
      </c>
      <c r="L47" s="40">
        <v>99.9</v>
      </c>
      <c r="M47" s="40">
        <v>99.2</v>
      </c>
      <c r="N47" s="40">
        <v>99</v>
      </c>
      <c r="O47" s="40">
        <v>98.4</v>
      </c>
      <c r="P47" s="40">
        <v>99</v>
      </c>
      <c r="Q47" s="40">
        <v>98.3</v>
      </c>
      <c r="R47" s="40">
        <v>99.3</v>
      </c>
      <c r="S47" s="40">
        <v>99.8</v>
      </c>
      <c r="T47" s="40">
        <v>99.6</v>
      </c>
      <c r="U47" s="40">
        <v>99.2</v>
      </c>
      <c r="V47" s="40">
        <v>99.7</v>
      </c>
      <c r="W47" s="40">
        <v>98</v>
      </c>
      <c r="X47" s="40">
        <v>97.7</v>
      </c>
      <c r="Y47" s="48"/>
    </row>
    <row r="48" spans="1:26">
      <c r="A48" s="40">
        <v>48</v>
      </c>
      <c r="B48" s="40">
        <v>100</v>
      </c>
      <c r="C48" s="40">
        <v>100</v>
      </c>
      <c r="D48" s="40">
        <v>100</v>
      </c>
      <c r="E48" s="40">
        <v>100</v>
      </c>
      <c r="F48" s="40">
        <v>100</v>
      </c>
      <c r="G48" s="40">
        <v>100</v>
      </c>
      <c r="H48" s="40">
        <v>100</v>
      </c>
      <c r="I48" s="40">
        <v>100</v>
      </c>
      <c r="J48" s="40">
        <v>100</v>
      </c>
      <c r="K48" s="40">
        <v>100</v>
      </c>
      <c r="L48" s="40">
        <v>100</v>
      </c>
      <c r="M48" s="40">
        <v>100</v>
      </c>
      <c r="N48" s="70">
        <v>100</v>
      </c>
      <c r="O48" s="40">
        <v>100</v>
      </c>
      <c r="P48" s="40">
        <v>100</v>
      </c>
      <c r="Q48" s="40">
        <v>100</v>
      </c>
      <c r="R48" s="40">
        <v>100</v>
      </c>
      <c r="S48" s="40">
        <v>100</v>
      </c>
      <c r="T48" s="40">
        <v>100</v>
      </c>
      <c r="U48" s="40">
        <v>100</v>
      </c>
      <c r="V48" s="40">
        <v>100</v>
      </c>
      <c r="W48" s="40">
        <v>100</v>
      </c>
      <c r="X48" s="40">
        <v>100</v>
      </c>
      <c r="Y48" s="48"/>
    </row>
    <row r="49" spans="25:25">
      <c r="Y49" s="48"/>
    </row>
  </sheetData>
  <mergeCells count="5">
    <mergeCell ref="X3:Z3"/>
    <mergeCell ref="A2:A3"/>
    <mergeCell ref="B2:W2"/>
    <mergeCell ref="A30:A31"/>
    <mergeCell ref="B30:W30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4AC1B-2867-4492-8CE5-53B11A3D3593}">
  <sheetPr codeName="Sheet6"/>
  <dimension ref="A1:N56"/>
  <sheetViews>
    <sheetView workbookViewId="0">
      <selection activeCell="H10" sqref="H10"/>
    </sheetView>
  </sheetViews>
  <sheetFormatPr defaultRowHeight="14.4"/>
  <cols>
    <col min="2" max="2" width="10.88671875" customWidth="1"/>
    <col min="3" max="3" width="11" customWidth="1"/>
    <col min="4" max="4" width="11.77734375" customWidth="1"/>
    <col min="5" max="5" width="11.33203125" customWidth="1"/>
    <col min="6" max="6" width="13.33203125" customWidth="1"/>
    <col min="7" max="8" width="10.21875" customWidth="1"/>
  </cols>
  <sheetData>
    <row r="1" spans="1:14">
      <c r="A1" s="169" t="s">
        <v>194</v>
      </c>
      <c r="B1" s="39" t="s">
        <v>196</v>
      </c>
      <c r="C1" s="39" t="s">
        <v>198</v>
      </c>
      <c r="D1" s="39" t="s">
        <v>199</v>
      </c>
      <c r="E1" s="39" t="s">
        <v>196</v>
      </c>
      <c r="F1" s="39" t="s">
        <v>200</v>
      </c>
      <c r="G1" s="39" t="s">
        <v>199</v>
      </c>
      <c r="H1" s="39" t="s">
        <v>209</v>
      </c>
      <c r="I1" s="39" t="s">
        <v>201</v>
      </c>
      <c r="J1" s="39" t="s">
        <v>202</v>
      </c>
      <c r="K1" s="39" t="s">
        <v>203</v>
      </c>
      <c r="L1" s="39" t="s">
        <v>204</v>
      </c>
      <c r="M1" s="39" t="s">
        <v>205</v>
      </c>
      <c r="N1" s="39" t="s">
        <v>206</v>
      </c>
    </row>
    <row r="2" spans="1:14">
      <c r="A2" s="169"/>
      <c r="B2" s="40" t="s">
        <v>197</v>
      </c>
      <c r="C2" s="40" t="s">
        <v>197</v>
      </c>
      <c r="D2" s="40" t="s">
        <v>197</v>
      </c>
      <c r="E2" s="40" t="s">
        <v>197</v>
      </c>
      <c r="F2" s="40" t="s">
        <v>197</v>
      </c>
      <c r="G2" s="40" t="s">
        <v>197</v>
      </c>
      <c r="H2" s="40" t="s">
        <v>214</v>
      </c>
      <c r="I2" s="40" t="s">
        <v>186</v>
      </c>
      <c r="J2" s="40" t="s">
        <v>187</v>
      </c>
      <c r="K2" s="40" t="s">
        <v>188</v>
      </c>
      <c r="L2" s="40" t="s">
        <v>189</v>
      </c>
      <c r="M2" s="40" t="s">
        <v>207</v>
      </c>
      <c r="N2" s="40" t="s">
        <v>208</v>
      </c>
    </row>
    <row r="3" spans="1:14">
      <c r="A3" s="40" t="s">
        <v>195</v>
      </c>
      <c r="B3" s="77">
        <f>'24hr SPS'!I7*10</f>
        <v>465.03620956482018</v>
      </c>
      <c r="C3" s="77">
        <f>'48hr SPS '!I7*10</f>
        <v>625.41251466345796</v>
      </c>
      <c r="D3" s="77">
        <f>'72hr SPS  '!I7*10</f>
        <v>908.1284152412702</v>
      </c>
      <c r="E3" s="77">
        <f>B3</f>
        <v>465.03620956482018</v>
      </c>
      <c r="F3" s="77">
        <f>C3-B3</f>
        <v>160.37630509863777</v>
      </c>
      <c r="G3" s="77">
        <f>D3-C3</f>
        <v>282.71590057781225</v>
      </c>
      <c r="H3" s="40">
        <f>('24hr SPS'!I2*'24hr SPS'!I3)*10</f>
        <v>452.03062070114066</v>
      </c>
      <c r="I3" s="77">
        <f>E3*'24hr SPS'!B27%</f>
        <v>339.47643298231873</v>
      </c>
      <c r="J3" s="77">
        <f>E3-I3</f>
        <v>125.55977658250146</v>
      </c>
      <c r="K3" s="77">
        <f>F3*'24hr SPS'!B27%</f>
        <v>117.07470272200557</v>
      </c>
      <c r="L3" s="77">
        <f>F3-K3</f>
        <v>43.301602376632204</v>
      </c>
      <c r="M3" s="77">
        <f>G3*'24hr SPS'!B27%</f>
        <v>206.38260742180293</v>
      </c>
      <c r="N3" s="77">
        <f>G3-M3</f>
        <v>76.333293156009319</v>
      </c>
    </row>
    <row r="5" spans="1:14">
      <c r="I5" s="76"/>
    </row>
    <row r="9" spans="1:14">
      <c r="K9" s="73"/>
      <c r="M9" s="29"/>
      <c r="N9" s="74"/>
    </row>
    <row r="10" spans="1:14">
      <c r="K10" s="73"/>
      <c r="M10" s="29"/>
      <c r="N10" s="74"/>
    </row>
    <row r="11" spans="1:14">
      <c r="K11" s="73"/>
      <c r="M11" s="29"/>
      <c r="N11" s="74"/>
    </row>
    <row r="12" spans="1:14">
      <c r="K12" s="73"/>
      <c r="M12" s="29"/>
      <c r="N12" s="74"/>
    </row>
    <row r="13" spans="1:14">
      <c r="K13" s="73"/>
      <c r="M13" s="29"/>
      <c r="N13" s="74"/>
    </row>
    <row r="14" spans="1:14">
      <c r="M14" s="29"/>
      <c r="N14" s="74"/>
    </row>
    <row r="15" spans="1:14">
      <c r="M15" s="29"/>
      <c r="N15" s="74"/>
    </row>
    <row r="16" spans="1:14">
      <c r="M16" s="29"/>
      <c r="N16" s="74"/>
    </row>
    <row r="17" spans="13:14">
      <c r="M17" s="29"/>
      <c r="N17" s="74"/>
    </row>
    <row r="18" spans="13:14">
      <c r="M18" s="29"/>
      <c r="N18" s="74"/>
    </row>
    <row r="19" spans="13:14">
      <c r="M19" s="29"/>
      <c r="N19" s="74"/>
    </row>
    <row r="20" spans="13:14">
      <c r="M20" s="29"/>
      <c r="N20" s="74"/>
    </row>
    <row r="21" spans="13:14">
      <c r="M21" s="29"/>
      <c r="N21" s="74"/>
    </row>
    <row r="22" spans="13:14">
      <c r="M22" s="29"/>
      <c r="N22" s="74"/>
    </row>
    <row r="23" spans="13:14">
      <c r="M23" s="29"/>
      <c r="N23" s="74"/>
    </row>
    <row r="24" spans="13:14">
      <c r="M24" s="29"/>
      <c r="N24" s="74"/>
    </row>
    <row r="25" spans="13:14">
      <c r="M25" s="29"/>
      <c r="N25" s="74"/>
    </row>
    <row r="26" spans="13:14">
      <c r="M26" s="29"/>
      <c r="N26" s="74"/>
    </row>
    <row r="27" spans="13:14">
      <c r="M27" s="29"/>
      <c r="N27" s="74"/>
    </row>
    <row r="28" spans="13:14">
      <c r="M28" s="29"/>
      <c r="N28" s="74"/>
    </row>
    <row r="29" spans="13:14">
      <c r="M29" s="29"/>
      <c r="N29" s="74"/>
    </row>
    <row r="30" spans="13:14">
      <c r="M30" s="29"/>
      <c r="N30" s="74"/>
    </row>
    <row r="31" spans="13:14">
      <c r="M31" s="29"/>
      <c r="N31" s="74"/>
    </row>
    <row r="32" spans="13:14">
      <c r="M32" s="29"/>
      <c r="N32" s="74"/>
    </row>
    <row r="33" spans="13:14">
      <c r="M33" s="29"/>
      <c r="N33" s="74"/>
    </row>
    <row r="34" spans="13:14">
      <c r="M34" s="29"/>
      <c r="N34" s="74"/>
    </row>
    <row r="35" spans="13:14">
      <c r="M35" s="29"/>
      <c r="N35" s="74"/>
    </row>
    <row r="36" spans="13:14">
      <c r="M36" s="29"/>
      <c r="N36" s="74"/>
    </row>
    <row r="37" spans="13:14">
      <c r="M37" s="29"/>
      <c r="N37" s="74"/>
    </row>
    <row r="38" spans="13:14">
      <c r="M38" s="29"/>
      <c r="N38" s="74"/>
    </row>
    <row r="39" spans="13:14">
      <c r="M39" s="29"/>
      <c r="N39" s="74"/>
    </row>
    <row r="40" spans="13:14">
      <c r="M40" s="29"/>
      <c r="N40" s="74"/>
    </row>
    <row r="41" spans="13:14">
      <c r="M41" s="29"/>
      <c r="N41" s="74"/>
    </row>
    <row r="42" spans="13:14">
      <c r="M42" s="29"/>
      <c r="N42" s="74"/>
    </row>
    <row r="43" spans="13:14">
      <c r="M43" s="29"/>
      <c r="N43" s="74"/>
    </row>
    <row r="44" spans="13:14">
      <c r="M44" s="29"/>
      <c r="N44" s="74"/>
    </row>
    <row r="45" spans="13:14">
      <c r="M45" s="29"/>
      <c r="N45" s="74"/>
    </row>
    <row r="46" spans="13:14">
      <c r="M46" s="29"/>
      <c r="N46" s="74"/>
    </row>
    <row r="47" spans="13:14">
      <c r="M47" s="29"/>
      <c r="N47" s="74"/>
    </row>
    <row r="48" spans="13:14">
      <c r="M48" s="29"/>
      <c r="N48" s="74"/>
    </row>
    <row r="49" spans="13:14">
      <c r="M49" s="29"/>
      <c r="N49" s="74"/>
    </row>
    <row r="50" spans="13:14">
      <c r="M50" s="29"/>
      <c r="N50" s="74"/>
    </row>
    <row r="51" spans="13:14">
      <c r="M51" s="29"/>
      <c r="N51" s="74"/>
    </row>
    <row r="52" spans="13:14">
      <c r="M52" s="29"/>
      <c r="N52" s="74"/>
    </row>
    <row r="53" spans="13:14">
      <c r="M53" s="29"/>
      <c r="N53" s="74"/>
    </row>
    <row r="54" spans="13:14">
      <c r="M54" s="29"/>
      <c r="N54" s="74"/>
    </row>
    <row r="55" spans="13:14">
      <c r="M55" s="29"/>
      <c r="N55" s="74"/>
    </row>
    <row r="56" spans="13:14">
      <c r="M56" s="29"/>
      <c r="N56" s="74"/>
    </row>
  </sheetData>
  <mergeCells count="1">
    <mergeCell ref="A1:A2"/>
  </mergeCells>
  <phoneticPr fontId="2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SUH</vt:lpstr>
      <vt:lpstr>24hr SPS</vt:lpstr>
      <vt:lpstr>48hr SPS </vt:lpstr>
      <vt:lpstr>72hr SPS  </vt:lpstr>
      <vt:lpstr>Sheet3</vt:lpstr>
      <vt:lpstr>PMP 12hr Bell depth</vt:lpstr>
      <vt:lpstr>SUH!Print_Area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Ajay</dc:creator>
  <cp:lastModifiedBy>Ajay</cp:lastModifiedBy>
  <cp:lastPrinted>2025-08-24T12:20:01Z</cp:lastPrinted>
  <dcterms:created xsi:type="dcterms:W3CDTF">2025-08-14T08:47:06Z</dcterms:created>
  <dcterms:modified xsi:type="dcterms:W3CDTF">2025-08-27T18:09:47Z</dcterms:modified>
</cp:coreProperties>
</file>